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itories\Repos\pypsa-earth-project\EcuadorElectricGrid\data\raw\generation\"/>
    </mc:Choice>
  </mc:AlternateContent>
  <xr:revisionPtr revIDLastSave="0" documentId="13_ncr:1_{1FA5C304-BB41-4D36-91E7-9ECFCA804CFB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Estaciones" sheetId="1" r:id="rId1"/>
    <sheet name="Tabelle2" sheetId="10" r:id="rId2"/>
    <sheet name="Cantones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13" i="1" l="1"/>
  <c r="K248" i="1"/>
  <c r="K240" i="1"/>
  <c r="K92" i="1"/>
  <c r="K121" i="1"/>
  <c r="K91" i="1"/>
  <c r="K33" i="1"/>
  <c r="K34" i="1"/>
  <c r="K26" i="1"/>
  <c r="K268" i="1"/>
  <c r="K293" i="1"/>
  <c r="K78" i="1"/>
  <c r="K199" i="1"/>
  <c r="K214" i="1"/>
  <c r="K44" i="1"/>
  <c r="K81" i="1"/>
  <c r="K27" i="1"/>
  <c r="K71" i="1"/>
  <c r="K184" i="1"/>
  <c r="K281" i="1"/>
  <c r="K79" i="1"/>
  <c r="K205" i="1"/>
  <c r="K86" i="1"/>
  <c r="K193" i="1"/>
  <c r="K90" i="1"/>
  <c r="K269" i="1"/>
  <c r="K13" i="1"/>
  <c r="K170" i="1"/>
  <c r="K175" i="1"/>
  <c r="K82" i="1"/>
  <c r="K45" i="1"/>
  <c r="K60" i="1"/>
  <c r="K283" i="1"/>
  <c r="K183" i="1"/>
  <c r="K174" i="1"/>
  <c r="K173" i="1"/>
  <c r="K19" i="1"/>
  <c r="K14" i="1"/>
  <c r="K39" i="1"/>
  <c r="K77" i="1"/>
  <c r="K279" i="1"/>
  <c r="K72" i="1"/>
  <c r="K210" i="1"/>
  <c r="K127" i="1"/>
  <c r="K196" i="1"/>
  <c r="K277" i="1"/>
  <c r="K84" i="1"/>
  <c r="K89" i="1"/>
  <c r="K194" i="1"/>
  <c r="K80" i="1"/>
  <c r="K40" i="1"/>
  <c r="K83" i="1"/>
  <c r="K88" i="1"/>
  <c r="K287" i="1"/>
  <c r="K37" i="1"/>
  <c r="K168" i="1"/>
  <c r="K139" i="1"/>
  <c r="K198" i="1"/>
  <c r="K276" i="1"/>
  <c r="K48" i="1"/>
  <c r="K262" i="1"/>
  <c r="K85" i="1"/>
  <c r="K107" i="1"/>
  <c r="K120" i="1"/>
  <c r="K101" i="1"/>
  <c r="K31" i="1"/>
  <c r="K50" i="1"/>
  <c r="K304" i="1"/>
  <c r="K8" i="1"/>
  <c r="K96" i="1"/>
  <c r="K100" i="1"/>
  <c r="K243" i="1"/>
  <c r="K280" i="1"/>
  <c r="K246" i="1"/>
  <c r="K313" i="1"/>
  <c r="K229" i="1"/>
  <c r="K143" i="1"/>
  <c r="K219" i="1"/>
  <c r="K186" i="1"/>
  <c r="K301" i="1"/>
  <c r="K70" i="1"/>
  <c r="K61" i="1"/>
  <c r="K30" i="1"/>
  <c r="K162" i="1"/>
  <c r="K189" i="1"/>
  <c r="K244" i="1"/>
  <c r="K254" i="1"/>
  <c r="K274" i="1"/>
  <c r="K271" i="1"/>
  <c r="K272" i="1"/>
  <c r="K273" i="1"/>
  <c r="K17" i="1"/>
  <c r="K204" i="1"/>
  <c r="K110" i="1"/>
  <c r="K29" i="1"/>
  <c r="K155" i="1"/>
  <c r="K151" i="1"/>
  <c r="K111" i="1"/>
  <c r="K182" i="1"/>
  <c r="K154" i="1"/>
  <c r="K153" i="1"/>
  <c r="K28" i="1"/>
  <c r="K202" i="1"/>
  <c r="K318" i="1"/>
  <c r="K124" i="1"/>
  <c r="K142" i="1"/>
  <c r="K135" i="1"/>
  <c r="K294" i="1"/>
  <c r="K87" i="1"/>
  <c r="K152" i="1"/>
  <c r="K249" i="1"/>
  <c r="K286" i="1"/>
  <c r="K303" i="1"/>
  <c r="K53" i="1"/>
  <c r="K131" i="1"/>
  <c r="K138" i="1"/>
  <c r="K315" i="1"/>
  <c r="K97" i="1"/>
  <c r="K68" i="1"/>
  <c r="K288" i="1"/>
  <c r="K146" i="1"/>
  <c r="K197" i="1"/>
  <c r="K206" i="1"/>
  <c r="K212" i="1"/>
  <c r="K208" i="1"/>
  <c r="K133" i="1"/>
  <c r="K126" i="1"/>
  <c r="K236" i="1"/>
  <c r="K207" i="1"/>
  <c r="K282" i="1"/>
  <c r="K132" i="1"/>
  <c r="K314" i="1"/>
  <c r="K25" i="1"/>
  <c r="K145" i="1"/>
  <c r="K57" i="1"/>
  <c r="K144" i="1"/>
  <c r="K12" i="1"/>
  <c r="K239" i="1"/>
  <c r="K35" i="1"/>
  <c r="K93" i="1"/>
  <c r="K164" i="1"/>
  <c r="K250" i="1"/>
  <c r="K134" i="1"/>
  <c r="K192" i="1"/>
  <c r="K122" i="1"/>
  <c r="K123" i="1"/>
  <c r="K161" i="1"/>
  <c r="K22" i="1"/>
  <c r="K203" i="1"/>
  <c r="K176" i="1"/>
  <c r="K278" i="1"/>
  <c r="K195" i="1"/>
  <c r="K215" i="1"/>
  <c r="K63" i="1"/>
  <c r="K242" i="1"/>
  <c r="K201" i="1"/>
  <c r="K226" i="1"/>
  <c r="K265" i="1"/>
  <c r="K228" i="1"/>
  <c r="K178" i="1"/>
  <c r="K38" i="1"/>
  <c r="K187" i="1"/>
  <c r="K311" i="1"/>
  <c r="K209" i="1"/>
  <c r="K56" i="1"/>
  <c r="K113" i="1"/>
  <c r="K156" i="1"/>
  <c r="K234" i="1"/>
  <c r="K114" i="1"/>
  <c r="K167" i="1"/>
  <c r="K115" i="1"/>
  <c r="K235" i="1"/>
  <c r="K163" i="1"/>
  <c r="K188" i="1"/>
  <c r="K147" i="1"/>
  <c r="K292" i="1"/>
  <c r="K117" i="1"/>
  <c r="K312" i="1"/>
  <c r="K200" i="1"/>
  <c r="K141" i="1"/>
  <c r="K119" i="1"/>
  <c r="K116" i="1"/>
  <c r="K284" i="1"/>
  <c r="K94" i="1"/>
  <c r="K43" i="1"/>
  <c r="K165" i="1"/>
  <c r="K308" i="1"/>
  <c r="K4" i="1"/>
  <c r="K310" i="1"/>
  <c r="K69" i="1"/>
  <c r="K7" i="1"/>
  <c r="K285" i="1"/>
  <c r="K179" i="1"/>
  <c r="K185" i="1"/>
  <c r="K10" i="1"/>
  <c r="K256" i="1"/>
  <c r="K316" i="1"/>
  <c r="K227" i="1"/>
  <c r="K238" i="1"/>
  <c r="K128" i="1"/>
  <c r="K59" i="1"/>
  <c r="K11" i="1"/>
  <c r="K109" i="1"/>
  <c r="K21" i="1"/>
  <c r="K66" i="1"/>
  <c r="K177" i="1"/>
  <c r="K255" i="1"/>
  <c r="K158" i="1"/>
  <c r="K270" i="1"/>
  <c r="K112" i="1"/>
  <c r="K225" i="1"/>
  <c r="K260" i="1"/>
  <c r="K42" i="1"/>
  <c r="K18" i="1"/>
  <c r="K245" i="1"/>
  <c r="K221" i="1"/>
  <c r="K306" i="1"/>
  <c r="K6" i="1"/>
  <c r="K118" i="1"/>
  <c r="K136" i="1"/>
  <c r="K46" i="1"/>
  <c r="K129" i="1"/>
  <c r="K263" i="1"/>
  <c r="K305" i="1"/>
  <c r="K106" i="1"/>
  <c r="K137" i="1"/>
  <c r="K295" i="1"/>
  <c r="K41" i="1"/>
  <c r="K296" i="1"/>
  <c r="K264" i="1"/>
  <c r="K218" i="1"/>
  <c r="K247" i="1"/>
  <c r="K49" i="1"/>
  <c r="K5" i="1"/>
  <c r="K20" i="1"/>
  <c r="K233" i="1"/>
  <c r="K266" i="1"/>
  <c r="K258" i="1"/>
  <c r="K223" i="1"/>
  <c r="K140" i="1"/>
  <c r="K309" i="1"/>
  <c r="K32" i="1"/>
  <c r="K191" i="1"/>
  <c r="K232" i="1"/>
  <c r="K298" i="1"/>
  <c r="K267" i="1"/>
  <c r="K317" i="1"/>
  <c r="K67" i="1"/>
  <c r="K36" i="1"/>
  <c r="K231" i="1"/>
  <c r="K149" i="1"/>
  <c r="K104" i="1"/>
  <c r="K103" i="1"/>
  <c r="K23" i="1"/>
  <c r="K55" i="1"/>
  <c r="K257" i="1"/>
  <c r="K171" i="1"/>
  <c r="K98" i="1"/>
  <c r="K297" i="1"/>
  <c r="K299" i="1"/>
  <c r="K261" i="1"/>
  <c r="K166" i="1"/>
  <c r="K259" i="1"/>
  <c r="K65" i="1"/>
  <c r="K222" i="1"/>
  <c r="K102" i="1"/>
  <c r="K16" i="1"/>
  <c r="K64" i="1"/>
  <c r="K95" i="1"/>
  <c r="K216" i="1"/>
  <c r="K2" i="1"/>
  <c r="K52" i="1"/>
  <c r="K180" i="1"/>
  <c r="K54" i="1"/>
  <c r="K172" i="1"/>
  <c r="K51" i="1"/>
  <c r="K252" i="1"/>
  <c r="K230" i="1"/>
  <c r="K24" i="1"/>
  <c r="K220" i="1"/>
  <c r="K130" i="1"/>
  <c r="K224" i="1"/>
  <c r="K169" i="1"/>
  <c r="K62" i="1"/>
  <c r="K160" i="1"/>
  <c r="K108" i="1"/>
  <c r="K105" i="1"/>
  <c r="K148" i="1"/>
  <c r="K253" i="1"/>
  <c r="K211" i="1"/>
  <c r="K300" i="1"/>
  <c r="K237" i="1"/>
  <c r="K251" i="1"/>
  <c r="K9" i="1"/>
  <c r="K217" i="1"/>
  <c r="K76" i="1"/>
  <c r="K73" i="1"/>
  <c r="K15" i="1"/>
  <c r="K307" i="1"/>
  <c r="K74" i="1"/>
  <c r="K75" i="1"/>
  <c r="K302" i="1"/>
  <c r="K290" i="1"/>
  <c r="K289" i="1"/>
  <c r="K125" i="1"/>
  <c r="K99" i="1"/>
  <c r="K291" i="1"/>
  <c r="K3" i="1"/>
  <c r="K157" i="1"/>
  <c r="K58" i="1"/>
  <c r="K150" i="1"/>
  <c r="K241" i="1"/>
  <c r="K159" i="1"/>
  <c r="K275" i="1"/>
  <c r="K190" i="1"/>
  <c r="K47" i="1"/>
  <c r="J213" i="1"/>
  <c r="J248" i="1"/>
  <c r="J240" i="1"/>
  <c r="J92" i="1"/>
  <c r="J121" i="1"/>
  <c r="J91" i="1"/>
  <c r="J33" i="1"/>
  <c r="J34" i="1"/>
  <c r="J26" i="1"/>
  <c r="J268" i="1"/>
  <c r="J293" i="1"/>
  <c r="J78" i="1"/>
  <c r="J199" i="1"/>
  <c r="J214" i="1"/>
  <c r="J44" i="1"/>
  <c r="J81" i="1"/>
  <c r="J27" i="1"/>
  <c r="J71" i="1"/>
  <c r="J184" i="1"/>
  <c r="J281" i="1"/>
  <c r="J79" i="1"/>
  <c r="J205" i="1"/>
  <c r="J86" i="1"/>
  <c r="J193" i="1"/>
  <c r="J90" i="1"/>
  <c r="J269" i="1"/>
  <c r="J13" i="1"/>
  <c r="J170" i="1"/>
  <c r="J175" i="1"/>
  <c r="J82" i="1"/>
  <c r="J45" i="1"/>
  <c r="J60" i="1"/>
  <c r="J283" i="1"/>
  <c r="J183" i="1"/>
  <c r="J174" i="1"/>
  <c r="J173" i="1"/>
  <c r="J19" i="1"/>
  <c r="J14" i="1"/>
  <c r="J39" i="1"/>
  <c r="J77" i="1"/>
  <c r="J279" i="1"/>
  <c r="J72" i="1"/>
  <c r="J210" i="1"/>
  <c r="J127" i="1"/>
  <c r="J196" i="1"/>
  <c r="J277" i="1"/>
  <c r="J84" i="1"/>
  <c r="J89" i="1"/>
  <c r="J194" i="1"/>
  <c r="J80" i="1"/>
  <c r="J40" i="1"/>
  <c r="J83" i="1"/>
  <c r="J88" i="1"/>
  <c r="J287" i="1"/>
  <c r="J37" i="1"/>
  <c r="J168" i="1"/>
  <c r="J139" i="1"/>
  <c r="J198" i="1"/>
  <c r="J276" i="1"/>
  <c r="J48" i="1"/>
  <c r="J262" i="1"/>
  <c r="J85" i="1"/>
  <c r="J107" i="1"/>
  <c r="J120" i="1"/>
  <c r="J101" i="1"/>
  <c r="J31" i="1"/>
  <c r="J50" i="1"/>
  <c r="J304" i="1"/>
  <c r="J8" i="1"/>
  <c r="J96" i="1"/>
  <c r="J100" i="1"/>
  <c r="J243" i="1"/>
  <c r="J280" i="1"/>
  <c r="J246" i="1"/>
  <c r="J313" i="1"/>
  <c r="J229" i="1"/>
  <c r="J143" i="1"/>
  <c r="J219" i="1"/>
  <c r="J186" i="1"/>
  <c r="J301" i="1"/>
  <c r="J70" i="1"/>
  <c r="J61" i="1"/>
  <c r="J30" i="1"/>
  <c r="J162" i="1"/>
  <c r="J189" i="1"/>
  <c r="J244" i="1"/>
  <c r="J254" i="1"/>
  <c r="J274" i="1"/>
  <c r="J271" i="1"/>
  <c r="J272" i="1"/>
  <c r="J273" i="1"/>
  <c r="J17" i="1"/>
  <c r="J204" i="1"/>
  <c r="J110" i="1"/>
  <c r="J29" i="1"/>
  <c r="J155" i="1"/>
  <c r="J151" i="1"/>
  <c r="J111" i="1"/>
  <c r="J182" i="1"/>
  <c r="J154" i="1"/>
  <c r="J153" i="1"/>
  <c r="J28" i="1"/>
  <c r="J202" i="1"/>
  <c r="J318" i="1"/>
  <c r="J124" i="1"/>
  <c r="J142" i="1"/>
  <c r="J135" i="1"/>
  <c r="J294" i="1"/>
  <c r="J87" i="1"/>
  <c r="J152" i="1"/>
  <c r="J249" i="1"/>
  <c r="J286" i="1"/>
  <c r="J303" i="1"/>
  <c r="J53" i="1"/>
  <c r="J131" i="1"/>
  <c r="J138" i="1"/>
  <c r="J315" i="1"/>
  <c r="J97" i="1"/>
  <c r="J68" i="1"/>
  <c r="J288" i="1"/>
  <c r="J146" i="1"/>
  <c r="J197" i="1"/>
  <c r="J206" i="1"/>
  <c r="J212" i="1"/>
  <c r="J208" i="1"/>
  <c r="J133" i="1"/>
  <c r="J126" i="1"/>
  <c r="J236" i="1"/>
  <c r="J207" i="1"/>
  <c r="J282" i="1"/>
  <c r="J132" i="1"/>
  <c r="J314" i="1"/>
  <c r="J25" i="1"/>
  <c r="J145" i="1"/>
  <c r="J57" i="1"/>
  <c r="J144" i="1"/>
  <c r="J12" i="1"/>
  <c r="J239" i="1"/>
  <c r="J35" i="1"/>
  <c r="J93" i="1"/>
  <c r="J164" i="1"/>
  <c r="J250" i="1"/>
  <c r="J134" i="1"/>
  <c r="J192" i="1"/>
  <c r="J122" i="1"/>
  <c r="J123" i="1"/>
  <c r="J161" i="1"/>
  <c r="J22" i="1"/>
  <c r="J203" i="1"/>
  <c r="J176" i="1"/>
  <c r="J278" i="1"/>
  <c r="J195" i="1"/>
  <c r="J215" i="1"/>
  <c r="J63" i="1"/>
  <c r="J242" i="1"/>
  <c r="J201" i="1"/>
  <c r="J226" i="1"/>
  <c r="J265" i="1"/>
  <c r="J228" i="1"/>
  <c r="J178" i="1"/>
  <c r="J38" i="1"/>
  <c r="J187" i="1"/>
  <c r="J311" i="1"/>
  <c r="J209" i="1"/>
  <c r="J56" i="1"/>
  <c r="J113" i="1"/>
  <c r="J156" i="1"/>
  <c r="J234" i="1"/>
  <c r="J114" i="1"/>
  <c r="J167" i="1"/>
  <c r="J115" i="1"/>
  <c r="J235" i="1"/>
  <c r="J163" i="1"/>
  <c r="J188" i="1"/>
  <c r="J147" i="1"/>
  <c r="J292" i="1"/>
  <c r="J117" i="1"/>
  <c r="J312" i="1"/>
  <c r="J200" i="1"/>
  <c r="J141" i="1"/>
  <c r="J119" i="1"/>
  <c r="J116" i="1"/>
  <c r="J284" i="1"/>
  <c r="J94" i="1"/>
  <c r="J43" i="1"/>
  <c r="J165" i="1"/>
  <c r="J308" i="1"/>
  <c r="J4" i="1"/>
  <c r="J310" i="1"/>
  <c r="J69" i="1"/>
  <c r="J7" i="1"/>
  <c r="J285" i="1"/>
  <c r="J179" i="1"/>
  <c r="J185" i="1"/>
  <c r="J10" i="1"/>
  <c r="J256" i="1"/>
  <c r="J316" i="1"/>
  <c r="J227" i="1"/>
  <c r="J238" i="1"/>
  <c r="J128" i="1"/>
  <c r="J59" i="1"/>
  <c r="J11" i="1"/>
  <c r="J109" i="1"/>
  <c r="J21" i="1"/>
  <c r="J66" i="1"/>
  <c r="J177" i="1"/>
  <c r="J255" i="1"/>
  <c r="J158" i="1"/>
  <c r="J270" i="1"/>
  <c r="J112" i="1"/>
  <c r="J225" i="1"/>
  <c r="J260" i="1"/>
  <c r="J42" i="1"/>
  <c r="J18" i="1"/>
  <c r="J245" i="1"/>
  <c r="J221" i="1"/>
  <c r="J306" i="1"/>
  <c r="J6" i="1"/>
  <c r="J118" i="1"/>
  <c r="J136" i="1"/>
  <c r="J46" i="1"/>
  <c r="J129" i="1"/>
  <c r="J263" i="1"/>
  <c r="J305" i="1"/>
  <c r="J106" i="1"/>
  <c r="J137" i="1"/>
  <c r="J295" i="1"/>
  <c r="J41" i="1"/>
  <c r="J296" i="1"/>
  <c r="J264" i="1"/>
  <c r="J218" i="1"/>
  <c r="J247" i="1"/>
  <c r="J49" i="1"/>
  <c r="J5" i="1"/>
  <c r="J20" i="1"/>
  <c r="J233" i="1"/>
  <c r="J266" i="1"/>
  <c r="J258" i="1"/>
  <c r="J223" i="1"/>
  <c r="J140" i="1"/>
  <c r="J309" i="1"/>
  <c r="J32" i="1"/>
  <c r="J191" i="1"/>
  <c r="J232" i="1"/>
  <c r="J298" i="1"/>
  <c r="J267" i="1"/>
  <c r="J317" i="1"/>
  <c r="J67" i="1"/>
  <c r="J36" i="1"/>
  <c r="J231" i="1"/>
  <c r="J149" i="1"/>
  <c r="J104" i="1"/>
  <c r="J103" i="1"/>
  <c r="J23" i="1"/>
  <c r="J55" i="1"/>
  <c r="J257" i="1"/>
  <c r="J171" i="1"/>
  <c r="J98" i="1"/>
  <c r="J297" i="1"/>
  <c r="J299" i="1"/>
  <c r="J261" i="1"/>
  <c r="J166" i="1"/>
  <c r="J259" i="1"/>
  <c r="J65" i="1"/>
  <c r="J222" i="1"/>
  <c r="J102" i="1"/>
  <c r="J16" i="1"/>
  <c r="J64" i="1"/>
  <c r="J95" i="1"/>
  <c r="J216" i="1"/>
  <c r="J2" i="1"/>
  <c r="J52" i="1"/>
  <c r="J180" i="1"/>
  <c r="J54" i="1"/>
  <c r="J172" i="1"/>
  <c r="J51" i="1"/>
  <c r="J252" i="1"/>
  <c r="J230" i="1"/>
  <c r="J24" i="1"/>
  <c r="J220" i="1"/>
  <c r="J130" i="1"/>
  <c r="J224" i="1"/>
  <c r="J169" i="1"/>
  <c r="J62" i="1"/>
  <c r="J160" i="1"/>
  <c r="J108" i="1"/>
  <c r="J105" i="1"/>
  <c r="J148" i="1"/>
  <c r="J253" i="1"/>
  <c r="J211" i="1"/>
  <c r="J300" i="1"/>
  <c r="J237" i="1"/>
  <c r="J251" i="1"/>
  <c r="J9" i="1"/>
  <c r="J217" i="1"/>
  <c r="J76" i="1"/>
  <c r="J73" i="1"/>
  <c r="J15" i="1"/>
  <c r="J307" i="1"/>
  <c r="J74" i="1"/>
  <c r="J75" i="1"/>
  <c r="J302" i="1"/>
  <c r="J290" i="1"/>
  <c r="J289" i="1"/>
  <c r="J125" i="1"/>
  <c r="J99" i="1"/>
  <c r="J291" i="1"/>
  <c r="J3" i="1"/>
  <c r="J157" i="1"/>
  <c r="J58" i="1"/>
  <c r="J150" i="1"/>
  <c r="J241" i="1"/>
  <c r="J159" i="1"/>
  <c r="J275" i="1"/>
  <c r="J190" i="1"/>
  <c r="J47" i="1"/>
  <c r="K181" i="1"/>
  <c r="J181" i="1"/>
  <c r="B2" i="10"/>
  <c r="A2" i="10"/>
  <c r="C2" i="10" l="1"/>
</calcChain>
</file>

<file path=xl/sharedStrings.xml><?xml version="1.0" encoding="utf-8"?>
<sst xmlns="http://schemas.openxmlformats.org/spreadsheetml/2006/main" count="2396" uniqueCount="566">
  <si>
    <r>
      <rPr>
        <b/>
        <sz val="9"/>
        <rFont val="Arial"/>
        <family val="2"/>
      </rPr>
      <t>Empresa</t>
    </r>
  </si>
  <si>
    <r>
      <rPr>
        <b/>
        <sz val="9"/>
        <rFont val="Arial"/>
        <family val="2"/>
      </rPr>
      <t>Central</t>
    </r>
  </si>
  <si>
    <r>
      <rPr>
        <b/>
        <sz val="9"/>
        <rFont val="Arial"/>
        <family val="2"/>
      </rPr>
      <t>Provincia</t>
    </r>
  </si>
  <si>
    <r>
      <rPr>
        <b/>
        <sz val="9"/>
        <rFont val="Arial"/>
        <family val="2"/>
      </rPr>
      <t>Cantón</t>
    </r>
  </si>
  <si>
    <r>
      <rPr>
        <b/>
        <sz val="9"/>
        <rFont val="Arial"/>
        <family val="2"/>
      </rPr>
      <t>Sistema</t>
    </r>
  </si>
  <si>
    <r>
      <rPr>
        <b/>
        <sz val="9"/>
        <rFont val="Arial"/>
        <family val="2"/>
      </rPr>
      <t>Tipo de Central</t>
    </r>
  </si>
  <si>
    <r>
      <rPr>
        <b/>
        <sz val="9"/>
        <rFont val="Arial"/>
        <family val="2"/>
      </rPr>
      <t>Subtipo de Central</t>
    </r>
  </si>
  <si>
    <r>
      <rPr>
        <b/>
        <sz val="9"/>
        <rFont val="Arial"/>
        <family val="2"/>
      </rPr>
      <t>Potencia Nominal (MW)</t>
    </r>
  </si>
  <si>
    <r>
      <rPr>
        <b/>
        <sz val="9"/>
        <rFont val="Arial"/>
        <family val="2"/>
      </rPr>
      <t>Potencia Efectiva (MW)</t>
    </r>
  </si>
  <si>
    <r>
      <rPr>
        <sz val="9"/>
        <color rgb="FF3C3C3B"/>
        <rFont val="Arial MT"/>
        <family val="2"/>
      </rPr>
      <t>CELEC-Coca Codo Sinclair</t>
    </r>
  </si>
  <si>
    <r>
      <rPr>
        <sz val="9"/>
        <color rgb="FF3C3C3B"/>
        <rFont val="Arial MT"/>
        <family val="2"/>
      </rPr>
      <t>Coca Codo Sinclair</t>
    </r>
  </si>
  <si>
    <r>
      <rPr>
        <sz val="9"/>
        <color rgb="FF3C3C3B"/>
        <rFont val="Arial MT"/>
        <family val="2"/>
      </rPr>
      <t>Napo</t>
    </r>
  </si>
  <si>
    <r>
      <rPr>
        <sz val="9"/>
        <color rgb="FF3C3C3B"/>
        <rFont val="Arial MT"/>
        <family val="2"/>
      </rPr>
      <t>El Chaco</t>
    </r>
  </si>
  <si>
    <r>
      <rPr>
        <sz val="9"/>
        <color rgb="FF3C3C3B"/>
        <rFont val="Arial MT"/>
        <family val="2"/>
      </rPr>
      <t>S.N.I.</t>
    </r>
  </si>
  <si>
    <r>
      <rPr>
        <sz val="9"/>
        <color rgb="FF3C3C3B"/>
        <rFont val="Arial MT"/>
        <family val="2"/>
      </rPr>
      <t>Hidráulica</t>
    </r>
  </si>
  <si>
    <r>
      <rPr>
        <sz val="9"/>
        <color rgb="FF3C3C3B"/>
        <rFont val="Arial MT"/>
        <family val="2"/>
      </rPr>
      <t>Pasada</t>
    </r>
  </si>
  <si>
    <r>
      <rPr>
        <sz val="9"/>
        <color rgb="FF3C3C3B"/>
        <rFont val="Arial MT"/>
        <family val="2"/>
      </rPr>
      <t>CELEC-Hidropaute</t>
    </r>
  </si>
  <si>
    <r>
      <rPr>
        <sz val="9"/>
        <color rgb="FF3C3C3B"/>
        <rFont val="Arial MT"/>
        <family val="2"/>
      </rPr>
      <t>Paute</t>
    </r>
  </si>
  <si>
    <r>
      <rPr>
        <sz val="9"/>
        <color rgb="FF3C3C3B"/>
        <rFont val="Arial MT"/>
        <family val="2"/>
      </rPr>
      <t>Azuay</t>
    </r>
  </si>
  <si>
    <r>
      <rPr>
        <sz val="9"/>
        <color rgb="FF3C3C3B"/>
        <rFont val="Arial MT"/>
        <family val="2"/>
      </rPr>
      <t>Sevilla de Oro</t>
    </r>
  </si>
  <si>
    <r>
      <rPr>
        <sz val="9"/>
        <color rgb="FF3C3C3B"/>
        <rFont val="Arial MT"/>
        <family val="2"/>
      </rPr>
      <t>Embalse</t>
    </r>
  </si>
  <si>
    <r>
      <rPr>
        <sz val="9"/>
        <color rgb="FF3C3C3B"/>
        <rFont val="Arial MT"/>
        <family val="2"/>
      </rPr>
      <t>Sopladora</t>
    </r>
  </si>
  <si>
    <r>
      <rPr>
        <sz val="9"/>
        <color rgb="FF3C3C3B"/>
        <rFont val="Arial MT"/>
        <family val="2"/>
      </rPr>
      <t>CELEC-Enerjubones</t>
    </r>
  </si>
  <si>
    <r>
      <rPr>
        <sz val="9"/>
        <color rgb="FF3C3C3B"/>
        <rFont val="Arial MT"/>
        <family val="2"/>
      </rPr>
      <t>Minas San Francisco</t>
    </r>
  </si>
  <si>
    <r>
      <rPr>
        <sz val="9"/>
        <color rgb="FF3C3C3B"/>
        <rFont val="Arial MT"/>
        <family val="2"/>
      </rPr>
      <t>CELEC-Hidronación</t>
    </r>
  </si>
  <si>
    <r>
      <rPr>
        <sz val="9"/>
        <color rgb="FF3C3C3B"/>
        <rFont val="Arial MT"/>
        <family val="2"/>
      </rPr>
      <t>Marcel Laniado</t>
    </r>
  </si>
  <si>
    <r>
      <rPr>
        <sz val="9"/>
        <color rgb="FF3C3C3B"/>
        <rFont val="Arial MT"/>
        <family val="2"/>
      </rPr>
      <t>Guayas</t>
    </r>
  </si>
  <si>
    <r>
      <rPr>
        <sz val="9"/>
        <color rgb="FF3C3C3B"/>
        <rFont val="Arial MT"/>
        <family val="2"/>
      </rPr>
      <t>El Empalme</t>
    </r>
  </si>
  <si>
    <r>
      <rPr>
        <sz val="9"/>
        <color rgb="FF3C3C3B"/>
        <rFont val="Arial MT"/>
        <family val="2"/>
      </rPr>
      <t>CELEC-Hidroagoyán</t>
    </r>
  </si>
  <si>
    <r>
      <rPr>
        <sz val="9"/>
        <color rgb="FF3C3C3B"/>
        <rFont val="Arial MT"/>
        <family val="2"/>
      </rPr>
      <t>San Francisco</t>
    </r>
  </si>
  <si>
    <r>
      <rPr>
        <sz val="9"/>
        <color rgb="FF3C3C3B"/>
        <rFont val="Arial MT"/>
        <family val="2"/>
      </rPr>
      <t>Tungurahua</t>
    </r>
  </si>
  <si>
    <r>
      <rPr>
        <sz val="9"/>
        <color rgb="FF3C3C3B"/>
        <rFont val="Arial MT"/>
        <family val="2"/>
      </rPr>
      <t>Baños de Agua Santa</t>
    </r>
  </si>
  <si>
    <r>
      <rPr>
        <sz val="9"/>
        <color rgb="FF3C3C3B"/>
        <rFont val="Arial MT"/>
        <family val="2"/>
      </rPr>
      <t>CELEC-Gensur</t>
    </r>
  </si>
  <si>
    <r>
      <rPr>
        <sz val="9"/>
        <color rgb="FF3C3C3B"/>
        <rFont val="Arial MT"/>
        <family val="2"/>
      </rPr>
      <t>Zamora Chinchipe</t>
    </r>
  </si>
  <si>
    <r>
      <rPr>
        <sz val="9"/>
        <color rgb="FF3C3C3B"/>
        <rFont val="Arial MT"/>
        <family val="2"/>
      </rPr>
      <t>Zamora</t>
    </r>
  </si>
  <si>
    <r>
      <rPr>
        <sz val="9"/>
        <color rgb="FF3C3C3B"/>
        <rFont val="Arial MT"/>
        <family val="2"/>
      </rPr>
      <t>Mazar</t>
    </r>
  </si>
  <si>
    <r>
      <rPr>
        <sz val="9"/>
        <color rgb="FF3C3C3B"/>
        <rFont val="Arial MT"/>
        <family val="2"/>
      </rPr>
      <t>Agoyán</t>
    </r>
  </si>
  <si>
    <r>
      <rPr>
        <sz val="9"/>
        <color rgb="FF3C3C3B"/>
        <rFont val="Arial MT"/>
        <family val="2"/>
      </rPr>
      <t>CELEC-Electroguayas</t>
    </r>
  </si>
  <si>
    <r>
      <rPr>
        <sz val="9"/>
        <color rgb="FF3C3C3B"/>
        <rFont val="Arial MT"/>
        <family val="2"/>
      </rPr>
      <t>Gonzalo Zevallos (Vapor)</t>
    </r>
  </si>
  <si>
    <r>
      <rPr>
        <sz val="9"/>
        <color rgb="FF3C3C3B"/>
        <rFont val="Arial MT"/>
        <family val="2"/>
      </rPr>
      <t>Guayaquil</t>
    </r>
  </si>
  <si>
    <r>
      <rPr>
        <sz val="9"/>
        <color rgb="FF3C3C3B"/>
        <rFont val="Arial MT"/>
        <family val="2"/>
      </rPr>
      <t>Térmica</t>
    </r>
  </si>
  <si>
    <r>
      <rPr>
        <sz val="9"/>
        <color rgb="FF3C3C3B"/>
        <rFont val="Arial MT"/>
        <family val="2"/>
      </rPr>
      <t>Turbovapor</t>
    </r>
  </si>
  <si>
    <r>
      <rPr>
        <sz val="9"/>
        <color rgb="FF3C3C3B"/>
        <rFont val="Arial MT"/>
        <family val="2"/>
      </rPr>
      <t>Trinitaria</t>
    </r>
  </si>
  <si>
    <r>
      <rPr>
        <sz val="9"/>
        <color rgb="FF3C3C3B"/>
        <rFont val="Arial MT"/>
        <family val="2"/>
      </rPr>
      <t>CELEC-Termogas Machala</t>
    </r>
  </si>
  <si>
    <r>
      <rPr>
        <sz val="9"/>
        <color rgb="FF3C3C3B"/>
        <rFont val="Arial MT"/>
        <family val="2"/>
      </rPr>
      <t>Termogas Machala I</t>
    </r>
  </si>
  <si>
    <r>
      <rPr>
        <sz val="9"/>
        <color rgb="FF3C3C3B"/>
        <rFont val="Arial MT"/>
        <family val="2"/>
      </rPr>
      <t>El Oro</t>
    </r>
  </si>
  <si>
    <r>
      <rPr>
        <sz val="9"/>
        <color rgb="FF3C3C3B"/>
        <rFont val="Arial MT"/>
        <family val="2"/>
      </rPr>
      <t>El Guabo</t>
    </r>
  </si>
  <si>
    <r>
      <rPr>
        <sz val="9"/>
        <color rgb="FF3C3C3B"/>
        <rFont val="Arial MT"/>
        <family val="2"/>
      </rPr>
      <t>Turbogás</t>
    </r>
  </si>
  <si>
    <r>
      <rPr>
        <sz val="9"/>
        <color rgb="FF3C3C3B"/>
        <rFont val="Arial MT"/>
        <family val="2"/>
      </rPr>
      <t>CELEC-Termomanabí</t>
    </r>
  </si>
  <si>
    <r>
      <rPr>
        <sz val="9"/>
        <color rgb="FF3C3C3B"/>
        <rFont val="Arial MT"/>
        <family val="2"/>
      </rPr>
      <t>Jaramijó</t>
    </r>
  </si>
  <si>
    <r>
      <rPr>
        <sz val="9"/>
        <color rgb="FF3C3C3B"/>
        <rFont val="Arial MT"/>
        <family val="2"/>
      </rPr>
      <t>Manabi</t>
    </r>
  </si>
  <si>
    <r>
      <rPr>
        <sz val="9"/>
        <color rgb="FF3C3C3B"/>
        <rFont val="Arial MT"/>
        <family val="2"/>
      </rPr>
      <t>MCI</t>
    </r>
  </si>
  <si>
    <r>
      <rPr>
        <sz val="9"/>
        <color rgb="FF3C3C3B"/>
        <rFont val="Arial MT"/>
        <family val="2"/>
      </rPr>
      <t>CELEC-Termoesmeraldas</t>
    </r>
  </si>
  <si>
    <r>
      <rPr>
        <sz val="9"/>
        <color rgb="FF3C3C3B"/>
        <rFont val="Arial MT"/>
        <family val="2"/>
      </rPr>
      <t>Esmeraldas I</t>
    </r>
  </si>
  <si>
    <r>
      <rPr>
        <sz val="9"/>
        <color rgb="FF3C3C3B"/>
        <rFont val="Arial MT"/>
        <family val="2"/>
      </rPr>
      <t>Esmeraldas</t>
    </r>
  </si>
  <si>
    <r>
      <rPr>
        <sz val="9"/>
        <color rgb="FF3C3C3B"/>
        <rFont val="Arial MT"/>
        <family val="2"/>
      </rPr>
      <t>Termoguayas Generation S.A.</t>
    </r>
  </si>
  <si>
    <r>
      <rPr>
        <sz val="9"/>
        <color rgb="FF3C3C3B"/>
        <rFont val="Arial MT"/>
        <family val="2"/>
      </rPr>
      <t>Termoguayas</t>
    </r>
  </si>
  <si>
    <r>
      <rPr>
        <sz val="9"/>
        <color rgb="FF3C3C3B"/>
        <rFont val="Arial MT"/>
        <family val="2"/>
      </rPr>
      <t>Termogas Machala II</t>
    </r>
  </si>
  <si>
    <r>
      <rPr>
        <sz val="9"/>
        <color rgb="FF3C3C3B"/>
        <rFont val="Arial MT"/>
        <family val="2"/>
      </rPr>
      <t>Intervisa Trade</t>
    </r>
  </si>
  <si>
    <r>
      <rPr>
        <sz val="9"/>
        <color rgb="FF3C3C3B"/>
        <rFont val="Arial MT"/>
        <family val="2"/>
      </rPr>
      <t>Victoria II</t>
    </r>
  </si>
  <si>
    <r>
      <rPr>
        <sz val="9"/>
        <color rgb="FF3C3C3B"/>
        <rFont val="Arial MT"/>
        <family val="2"/>
      </rPr>
      <t>CNEL-Guayaquil</t>
    </r>
  </si>
  <si>
    <r>
      <rPr>
        <sz val="9"/>
        <color rgb="FF3C3C3B"/>
        <rFont val="Arial MT"/>
        <family val="2"/>
      </rPr>
      <t>Aníbal Santos (Gas)</t>
    </r>
  </si>
  <si>
    <r>
      <rPr>
        <sz val="9"/>
        <color rgb="FF3C3C3B"/>
        <rFont val="Arial MT"/>
        <family val="2"/>
      </rPr>
      <t>Enrique García</t>
    </r>
  </si>
  <si>
    <r>
      <rPr>
        <sz val="9"/>
        <color rgb="FF3C3C3B"/>
        <rFont val="Arial MT"/>
        <family val="2"/>
      </rPr>
      <t>Petroamazonas</t>
    </r>
  </si>
  <si>
    <r>
      <rPr>
        <sz val="9"/>
        <color rgb="FF3C3C3B"/>
        <rFont val="Arial MT"/>
        <family val="2"/>
      </rPr>
      <t>EPF-Eden Yuturi</t>
    </r>
  </si>
  <si>
    <r>
      <rPr>
        <sz val="9"/>
        <color rgb="FF3C3C3B"/>
        <rFont val="Arial MT"/>
        <family val="2"/>
      </rPr>
      <t>Orellana</t>
    </r>
  </si>
  <si>
    <r>
      <rPr>
        <sz val="9"/>
        <color rgb="FF3C3C3B"/>
        <rFont val="Arial MT"/>
        <family val="2"/>
      </rPr>
      <t>No Incorporado</t>
    </r>
  </si>
  <si>
    <r>
      <rPr>
        <sz val="9"/>
        <color rgb="FF3C3C3B"/>
        <rFont val="Arial MT"/>
        <family val="2"/>
      </rPr>
      <t>Esmeraldas II</t>
    </r>
  </si>
  <si>
    <r>
      <rPr>
        <sz val="9"/>
        <color rgb="FF3C3C3B"/>
        <rFont val="Arial MT"/>
        <family val="2"/>
      </rPr>
      <t>CELEC-Termopichincha</t>
    </r>
  </si>
  <si>
    <r>
      <rPr>
        <sz val="9"/>
        <color rgb="FF3C3C3B"/>
        <rFont val="Arial MT"/>
        <family val="2"/>
      </rPr>
      <t>Quevedo II</t>
    </r>
  </si>
  <si>
    <r>
      <rPr>
        <sz val="9"/>
        <color rgb="FF3C3C3B"/>
        <rFont val="Arial MT"/>
        <family val="2"/>
      </rPr>
      <t>Los Rios</t>
    </r>
  </si>
  <si>
    <r>
      <rPr>
        <sz val="9"/>
        <color rgb="FF3C3C3B"/>
        <rFont val="Arial MT"/>
        <family val="2"/>
      </rPr>
      <t>Quevedo</t>
    </r>
  </si>
  <si>
    <r>
      <rPr>
        <sz val="9"/>
        <color rgb="FF3C3C3B"/>
        <rFont val="Arial MT"/>
        <family val="2"/>
      </rPr>
      <t>San Carlos</t>
    </r>
  </si>
  <si>
    <r>
      <rPr>
        <sz val="9"/>
        <color rgb="FF3C3C3B"/>
        <rFont val="Arial MT"/>
        <family val="2"/>
      </rPr>
      <t>Coronel Marcelino Maridueña</t>
    </r>
  </si>
  <si>
    <r>
      <rPr>
        <sz val="9"/>
        <color rgb="FF3C3C3B"/>
        <rFont val="Arial MT"/>
        <family val="2"/>
      </rPr>
      <t>Biomasa</t>
    </r>
  </si>
  <si>
    <r>
      <rPr>
        <sz val="9"/>
        <color rgb="FF3C3C3B"/>
        <rFont val="Arial MT"/>
        <family val="2"/>
      </rPr>
      <t>Pucará</t>
    </r>
  </si>
  <si>
    <r>
      <rPr>
        <sz val="9"/>
        <color rgb="FF3C3C3B"/>
        <rFont val="Arial MT"/>
        <family val="2"/>
      </rPr>
      <t>Andes Petro</t>
    </r>
  </si>
  <si>
    <r>
      <rPr>
        <sz val="9"/>
        <color rgb="FF3C3C3B"/>
        <rFont val="Arial MT"/>
        <family val="2"/>
      </rPr>
      <t>TPP</t>
    </r>
  </si>
  <si>
    <r>
      <rPr>
        <sz val="9"/>
        <color rgb="FF3C3C3B"/>
        <rFont val="Arial MT"/>
        <family val="2"/>
      </rPr>
      <t>Sucumbios</t>
    </r>
  </si>
  <si>
    <r>
      <rPr>
        <sz val="9"/>
        <color rgb="FF3C3C3B"/>
        <rFont val="Arial MT"/>
        <family val="2"/>
      </rPr>
      <t>Cuyabeno</t>
    </r>
  </si>
  <si>
    <r>
      <rPr>
        <sz val="9"/>
        <color rgb="FF3C3C3B"/>
        <rFont val="Arial MT"/>
        <family val="2"/>
      </rPr>
      <t>Santa Elena II</t>
    </r>
  </si>
  <si>
    <r>
      <rPr>
        <sz val="9"/>
        <color rgb="FF3C3C3B"/>
        <rFont val="Arial MT"/>
        <family val="2"/>
      </rPr>
      <t>Santa Elena</t>
    </r>
  </si>
  <si>
    <r>
      <rPr>
        <sz val="9"/>
        <color rgb="FF3C3C3B"/>
        <rFont val="Arial MT"/>
        <family val="2"/>
      </rPr>
      <t>Manduriacu</t>
    </r>
  </si>
  <si>
    <r>
      <rPr>
        <sz val="9"/>
        <color rgb="FF3C3C3B"/>
        <rFont val="Arial MT"/>
        <family val="2"/>
      </rPr>
      <t>Imbabura</t>
    </r>
  </si>
  <si>
    <r>
      <rPr>
        <sz val="9"/>
        <color rgb="FF3C3C3B"/>
        <rFont val="Arial MT"/>
        <family val="2"/>
      </rPr>
      <t>Cotacachi</t>
    </r>
  </si>
  <si>
    <r>
      <rPr>
        <sz val="9"/>
        <color rgb="FF3C3C3B"/>
        <rFont val="Arial MT"/>
        <family val="2"/>
      </rPr>
      <t>Álvaro Tinajero</t>
    </r>
  </si>
  <si>
    <r>
      <rPr>
        <sz val="9"/>
        <color rgb="FF3C3C3B"/>
        <rFont val="Arial MT"/>
        <family val="2"/>
      </rPr>
      <t>Santa Rosa</t>
    </r>
  </si>
  <si>
    <r>
      <rPr>
        <sz val="9"/>
        <color rgb="FF3C3C3B"/>
        <rFont val="Arial MT"/>
        <family val="2"/>
      </rPr>
      <t>Pichincha</t>
    </r>
  </si>
  <si>
    <r>
      <rPr>
        <sz val="9"/>
        <color rgb="FF3C3C3B"/>
        <rFont val="Arial MT"/>
        <family val="2"/>
      </rPr>
      <t>Hidrosanbartolo</t>
    </r>
  </si>
  <si>
    <r>
      <rPr>
        <sz val="9"/>
        <color rgb="FF3C3C3B"/>
        <rFont val="Arial MT"/>
        <family val="2"/>
      </rPr>
      <t>Morona Santiago</t>
    </r>
  </si>
  <si>
    <r>
      <rPr>
        <sz val="9"/>
        <color rgb="FF3C3C3B"/>
        <rFont val="Arial MT"/>
        <family val="2"/>
      </rPr>
      <t>Santiago</t>
    </r>
  </si>
  <si>
    <r>
      <rPr>
        <sz val="9"/>
        <color rgb="FF3C3C3B"/>
        <rFont val="Arial MT"/>
        <family val="2"/>
      </rPr>
      <t>Hidroalto</t>
    </r>
  </si>
  <si>
    <r>
      <rPr>
        <sz val="9"/>
        <color rgb="FF3C3C3B"/>
        <rFont val="Arial MT"/>
        <family val="2"/>
      </rPr>
      <t>Due</t>
    </r>
  </si>
  <si>
    <r>
      <rPr>
        <sz val="9"/>
        <color rgb="FF3C3C3B"/>
        <rFont val="Arial MT"/>
        <family val="2"/>
      </rPr>
      <t>Gonzalo Pizarro</t>
    </r>
  </si>
  <si>
    <r>
      <rPr>
        <sz val="9"/>
        <color rgb="FF3C3C3B"/>
        <rFont val="Arial MT"/>
        <family val="2"/>
      </rPr>
      <t>Hidronormandía</t>
    </r>
  </si>
  <si>
    <r>
      <rPr>
        <sz val="9"/>
        <color rgb="FF3C3C3B"/>
        <rFont val="Arial MT"/>
        <family val="2"/>
      </rPr>
      <t>Morona</t>
    </r>
  </si>
  <si>
    <r>
      <rPr>
        <sz val="9"/>
        <color rgb="FF3C3C3B"/>
        <rFont val="Arial MT"/>
        <family val="2"/>
      </rPr>
      <t>Guangopolo 2</t>
    </r>
  </si>
  <si>
    <r>
      <rPr>
        <sz val="9"/>
        <color rgb="FF3C3C3B"/>
        <rFont val="Arial MT"/>
        <family val="2"/>
      </rPr>
      <t>Distrito Metropolitano de Quito</t>
    </r>
  </si>
  <si>
    <r>
      <rPr>
        <sz val="9"/>
        <color rgb="FF3C3C3B"/>
        <rFont val="Arial MT"/>
        <family val="2"/>
      </rPr>
      <t>Repsol</t>
    </r>
  </si>
  <si>
    <r>
      <rPr>
        <sz val="9"/>
        <color rgb="FF3C3C3B"/>
        <rFont val="Arial MT"/>
        <family val="2"/>
      </rPr>
      <t>REPSOL YPF-SPF-3</t>
    </r>
  </si>
  <si>
    <r>
      <rPr>
        <sz val="9"/>
        <color rgb="FF3C3C3B"/>
        <rFont val="Arial MT"/>
        <family val="2"/>
      </rPr>
      <t>Aguarico</t>
    </r>
  </si>
  <si>
    <r>
      <rPr>
        <sz val="9"/>
        <color rgb="FF3C3C3B"/>
        <rFont val="Arial MT"/>
        <family val="2"/>
      </rPr>
      <t>Jivino III</t>
    </r>
  </si>
  <si>
    <r>
      <rPr>
        <sz val="9"/>
        <color rgb="FF3C3C3B"/>
        <rFont val="Arial MT"/>
        <family val="2"/>
      </rPr>
      <t>Shushufindi</t>
    </r>
  </si>
  <si>
    <r>
      <rPr>
        <sz val="9"/>
        <color rgb="FF3C3C3B"/>
        <rFont val="Arial MT"/>
        <family val="2"/>
      </rPr>
      <t>Baba</t>
    </r>
  </si>
  <si>
    <r>
      <rPr>
        <sz val="9"/>
        <color rgb="FF3C3C3B"/>
        <rFont val="Arial MT"/>
        <family val="2"/>
      </rPr>
      <t>Buena Fe</t>
    </r>
  </si>
  <si>
    <r>
      <rPr>
        <sz val="9"/>
        <color rgb="FF3C3C3B"/>
        <rFont val="Arial MT"/>
        <family val="2"/>
      </rPr>
      <t>Santa Elena III</t>
    </r>
  </si>
  <si>
    <r>
      <rPr>
        <sz val="9"/>
        <color rgb="FF3C3C3B"/>
        <rFont val="Arial MT"/>
        <family val="2"/>
      </rPr>
      <t>E.E. Quito</t>
    </r>
  </si>
  <si>
    <r>
      <rPr>
        <sz val="9"/>
        <color rgb="FF3C3C3B"/>
        <rFont val="Arial MT"/>
        <family val="2"/>
      </rPr>
      <t>Cumbayá</t>
    </r>
  </si>
  <si>
    <r>
      <rPr>
        <sz val="9"/>
        <color rgb="FF3C3C3B"/>
        <rFont val="Arial MT"/>
        <family val="2"/>
      </rPr>
      <t>Miraflores</t>
    </r>
  </si>
  <si>
    <r>
      <rPr>
        <sz val="9"/>
        <color rgb="FF3C3C3B"/>
        <rFont val="Arial MT"/>
        <family val="2"/>
      </rPr>
      <t>Manta</t>
    </r>
  </si>
  <si>
    <r>
      <rPr>
        <sz val="9"/>
        <color rgb="FF3C3C3B"/>
        <rFont val="Arial MT"/>
        <family val="2"/>
      </rPr>
      <t>ElitEnergy</t>
    </r>
  </si>
  <si>
    <r>
      <rPr>
        <sz val="9"/>
        <color rgb="FF3C3C3B"/>
        <rFont val="Arial MT"/>
        <family val="2"/>
      </rPr>
      <t>Tena</t>
    </r>
  </si>
  <si>
    <r>
      <rPr>
        <sz val="9"/>
        <color rgb="FF3C3C3B"/>
        <rFont val="Arial MT"/>
        <family val="2"/>
      </rPr>
      <t>Hidroabanico</t>
    </r>
  </si>
  <si>
    <r>
      <rPr>
        <sz val="9"/>
        <color rgb="FF3C3C3B"/>
        <rFont val="Arial MT"/>
        <family val="2"/>
      </rPr>
      <t>Abanico</t>
    </r>
  </si>
  <si>
    <r>
      <rPr>
        <sz val="9"/>
        <color rgb="FF3C3C3B"/>
        <rFont val="Arial MT"/>
        <family val="2"/>
      </rPr>
      <t>Agip</t>
    </r>
  </si>
  <si>
    <r>
      <rPr>
        <sz val="9"/>
        <color rgb="FF3C3C3B"/>
        <rFont val="Arial MT"/>
        <family val="2"/>
      </rPr>
      <t>CPF</t>
    </r>
  </si>
  <si>
    <r>
      <rPr>
        <sz val="9"/>
        <color rgb="FF3C3C3B"/>
        <rFont val="Arial MT"/>
        <family val="2"/>
      </rPr>
      <t>Pastaza</t>
    </r>
  </si>
  <si>
    <r>
      <rPr>
        <sz val="9"/>
        <color rgb="FF3C3C3B"/>
        <rFont val="Arial MT"/>
        <family val="2"/>
      </rPr>
      <t>Ecoelectric</t>
    </r>
  </si>
  <si>
    <r>
      <rPr>
        <sz val="9"/>
        <color rgb="FF3C3C3B"/>
        <rFont val="Arial MT"/>
        <family val="2"/>
      </rPr>
      <t>Milagro</t>
    </r>
  </si>
  <si>
    <r>
      <rPr>
        <sz val="9"/>
        <color rgb="FF3C3C3B"/>
        <rFont val="Arial MT"/>
        <family val="2"/>
      </rPr>
      <t>REPSOL YPF-NPF-1</t>
    </r>
  </si>
  <si>
    <r>
      <rPr>
        <sz val="9"/>
        <color rgb="FF3C3C3B"/>
        <rFont val="Arial MT"/>
        <family val="2"/>
      </rPr>
      <t>Generoca</t>
    </r>
  </si>
  <si>
    <r>
      <rPr>
        <sz val="9"/>
        <color rgb="FF3C3C3B"/>
        <rFont val="Arial MT"/>
        <family val="2"/>
      </rPr>
      <t>Sacha</t>
    </r>
  </si>
  <si>
    <r>
      <rPr>
        <sz val="9"/>
        <color rgb="FF3C3C3B"/>
        <rFont val="Arial MT"/>
        <family val="2"/>
      </rPr>
      <t>La Joya de los Sachas</t>
    </r>
  </si>
  <si>
    <r>
      <rPr>
        <sz val="9"/>
        <color rgb="FF3C3C3B"/>
        <rFont val="Arial MT"/>
        <family val="2"/>
      </rPr>
      <t>Palo Azul PGE</t>
    </r>
  </si>
  <si>
    <r>
      <rPr>
        <sz val="9"/>
        <color rgb="FF3C3C3B"/>
        <rFont val="Arial MT"/>
        <family val="2"/>
      </rPr>
      <t>Gualberto Hernández</t>
    </r>
  </si>
  <si>
    <r>
      <rPr>
        <sz val="9"/>
        <color rgb="FF3C3C3B"/>
        <rFont val="Arial MT"/>
        <family val="2"/>
      </rPr>
      <t>Nayón</t>
    </r>
  </si>
  <si>
    <r>
      <rPr>
        <sz val="9"/>
        <color rgb="FF3C3C3B"/>
        <rFont val="Arial MT"/>
        <family val="2"/>
      </rPr>
      <t>Oso</t>
    </r>
  </si>
  <si>
    <r>
      <rPr>
        <sz val="9"/>
        <color rgb="FF3C3C3B"/>
        <rFont val="Arial MT"/>
        <family val="2"/>
      </rPr>
      <t>Coazucar</t>
    </r>
  </si>
  <si>
    <r>
      <rPr>
        <sz val="9"/>
        <color rgb="FF3C3C3B"/>
        <rFont val="Arial MT"/>
        <family val="2"/>
      </rPr>
      <t>Ecudos A-G</t>
    </r>
  </si>
  <si>
    <r>
      <rPr>
        <sz val="9"/>
        <color rgb="FF3C3C3B"/>
        <rFont val="Arial MT"/>
        <family val="2"/>
      </rPr>
      <t>Cañar</t>
    </r>
  </si>
  <si>
    <r>
      <rPr>
        <sz val="9"/>
        <color rgb="FF3C3C3B"/>
        <rFont val="Arial MT"/>
        <family val="2"/>
      </rPr>
      <t>La Troncal</t>
    </r>
  </si>
  <si>
    <r>
      <rPr>
        <sz val="9"/>
        <color rgb="FF3C3C3B"/>
        <rFont val="Arial MT"/>
        <family val="2"/>
      </rPr>
      <t>Ecuagesa</t>
    </r>
  </si>
  <si>
    <r>
      <rPr>
        <sz val="9"/>
        <color rgb="FF3C3C3B"/>
        <rFont val="Arial MT"/>
        <family val="2"/>
      </rPr>
      <t>Topo</t>
    </r>
  </si>
  <si>
    <r>
      <rPr>
        <sz val="9"/>
        <color rgb="FF3C3C3B"/>
        <rFont val="Arial MT"/>
        <family val="2"/>
      </rPr>
      <t>Secoya</t>
    </r>
  </si>
  <si>
    <r>
      <rPr>
        <sz val="9"/>
        <color rgb="FF3C3C3B"/>
        <rFont val="Arial MT"/>
        <family val="2"/>
      </rPr>
      <t>Lago Agrio</t>
    </r>
  </si>
  <si>
    <r>
      <rPr>
        <sz val="9"/>
        <color rgb="FF3C3C3B"/>
        <rFont val="Arial MT"/>
        <family val="2"/>
      </rPr>
      <t>Elecaustro</t>
    </r>
  </si>
  <si>
    <r>
      <rPr>
        <sz val="9"/>
        <color rgb="FF3C3C3B"/>
        <rFont val="Arial MT"/>
        <family val="2"/>
      </rPr>
      <t>Ocaña</t>
    </r>
  </si>
  <si>
    <r>
      <rPr>
        <sz val="9"/>
        <color rgb="FF3C3C3B"/>
        <rFont val="Arial MT"/>
        <family val="2"/>
      </rPr>
      <t>UNACEM</t>
    </r>
  </si>
  <si>
    <r>
      <rPr>
        <sz val="9"/>
        <color rgb="FF3C3C3B"/>
        <rFont val="Arial MT"/>
        <family val="2"/>
      </rPr>
      <t>Selva Alegre</t>
    </r>
  </si>
  <si>
    <r>
      <rPr>
        <sz val="9"/>
        <color rgb="FF3C3C3B"/>
        <rFont val="Arial MT"/>
        <family val="2"/>
      </rPr>
      <t>Otavalo</t>
    </r>
  </si>
  <si>
    <r>
      <rPr>
        <sz val="9"/>
        <color rgb="FF3C3C3B"/>
        <rFont val="Arial MT"/>
        <family val="2"/>
      </rPr>
      <t>Saucay</t>
    </r>
  </si>
  <si>
    <r>
      <rPr>
        <sz val="9"/>
        <color rgb="FF3C3C3B"/>
        <rFont val="Arial MT"/>
        <family val="2"/>
      </rPr>
      <t>Cuenca</t>
    </r>
  </si>
  <si>
    <r>
      <rPr>
        <sz val="9"/>
        <color rgb="FF3C3C3B"/>
        <rFont val="Arial MT"/>
        <family val="2"/>
      </rPr>
      <t>Tiputini C-1</t>
    </r>
  </si>
  <si>
    <r>
      <rPr>
        <sz val="9"/>
        <color rgb="FF3C3C3B"/>
        <rFont val="Arial MT"/>
        <family val="2"/>
      </rPr>
      <t>Aníbal Santos (Vapor)</t>
    </r>
  </si>
  <si>
    <r>
      <rPr>
        <sz val="9"/>
        <color rgb="FF3C3C3B"/>
        <rFont val="Arial MT"/>
        <family val="2"/>
      </rPr>
      <t>Gonzalo Zevallos (Gas)</t>
    </r>
  </si>
  <si>
    <r>
      <rPr>
        <sz val="9"/>
        <color rgb="FF3C3C3B"/>
        <rFont val="Arial MT"/>
        <family val="2"/>
      </rPr>
      <t>REPSOL YPF-SPF-1</t>
    </r>
  </si>
  <si>
    <r>
      <rPr>
        <sz val="9"/>
        <color rgb="FF3C3C3B"/>
        <rFont val="Arial MT"/>
        <family val="2"/>
      </rPr>
      <t>Auca Sur</t>
    </r>
  </si>
  <si>
    <r>
      <rPr>
        <sz val="9"/>
        <color rgb="FF3C3C3B"/>
        <rFont val="Arial MT"/>
        <family val="2"/>
      </rPr>
      <t>Hidrosigchos</t>
    </r>
  </si>
  <si>
    <r>
      <rPr>
        <sz val="9"/>
        <color rgb="FF3C3C3B"/>
        <rFont val="Arial MT"/>
        <family val="2"/>
      </rPr>
      <t>Sigchos</t>
    </r>
  </si>
  <si>
    <r>
      <rPr>
        <sz val="9"/>
        <color rgb="FF3C3C3B"/>
        <rFont val="Arial MT"/>
        <family val="2"/>
      </rPr>
      <t>Cotopaxi</t>
    </r>
  </si>
  <si>
    <r>
      <rPr>
        <sz val="9"/>
        <color rgb="FF3C3C3B"/>
        <rFont val="Arial MT"/>
        <family val="2"/>
      </rPr>
      <t>Manta II</t>
    </r>
  </si>
  <si>
    <r>
      <rPr>
        <sz val="9"/>
        <color rgb="FF3C3C3B"/>
        <rFont val="Arial MT"/>
        <family val="2"/>
      </rPr>
      <t>El Descanso</t>
    </r>
  </si>
  <si>
    <r>
      <rPr>
        <sz val="9"/>
        <color rgb="FF3C3C3B"/>
        <rFont val="Arial MT"/>
        <family val="2"/>
      </rPr>
      <t>Azogues</t>
    </r>
  </si>
  <si>
    <r>
      <rPr>
        <sz val="9"/>
        <color rgb="FF3C3C3B"/>
        <rFont val="Arial MT"/>
        <family val="2"/>
      </rPr>
      <t>E.E. Sur</t>
    </r>
  </si>
  <si>
    <r>
      <rPr>
        <sz val="9"/>
        <color rgb="FF3C3C3B"/>
        <rFont val="Arial MT"/>
        <family val="2"/>
      </rPr>
      <t>Catamayo</t>
    </r>
  </si>
  <si>
    <r>
      <rPr>
        <sz val="9"/>
        <color rgb="FF3C3C3B"/>
        <rFont val="Arial MT"/>
        <family val="2"/>
      </rPr>
      <t>Loja</t>
    </r>
  </si>
  <si>
    <r>
      <rPr>
        <sz val="9"/>
        <color rgb="FF3C3C3B"/>
        <rFont val="Arial MT"/>
        <family val="2"/>
      </rPr>
      <t>Villonaco</t>
    </r>
  </si>
  <si>
    <r>
      <rPr>
        <sz val="9"/>
        <color rgb="FF3C3C3B"/>
        <rFont val="Arial MT"/>
        <family val="2"/>
      </rPr>
      <t>Eólica</t>
    </r>
  </si>
  <si>
    <r>
      <rPr>
        <sz val="9"/>
        <color rgb="FF3C3C3B"/>
        <rFont val="Arial MT"/>
        <family val="2"/>
      </rPr>
      <t>Saymirín</t>
    </r>
  </si>
  <si>
    <r>
      <rPr>
        <sz val="9"/>
        <color rgb="FF3C3C3B"/>
        <rFont val="Arial MT"/>
        <family val="2"/>
      </rPr>
      <t>Tiputini C-2</t>
    </r>
  </si>
  <si>
    <r>
      <rPr>
        <sz val="9"/>
        <color rgb="FF3C3C3B"/>
        <rFont val="Arial MT"/>
        <family val="2"/>
      </rPr>
      <t>Enermax</t>
    </r>
  </si>
  <si>
    <r>
      <rPr>
        <sz val="9"/>
        <color rgb="FF3C3C3B"/>
        <rFont val="Arial MT"/>
        <family val="2"/>
      </rPr>
      <t>Calope</t>
    </r>
  </si>
  <si>
    <r>
      <rPr>
        <sz val="9"/>
        <color rgb="FF3C3C3B"/>
        <rFont val="Arial MT"/>
        <family val="2"/>
      </rPr>
      <t>La Maná</t>
    </r>
  </si>
  <si>
    <r>
      <rPr>
        <sz val="9"/>
        <color rgb="FF3C3C3B"/>
        <rFont val="Arial MT"/>
        <family val="2"/>
      </rPr>
      <t>EPMAPS</t>
    </r>
  </si>
  <si>
    <r>
      <rPr>
        <sz val="9"/>
        <color rgb="FF3C3C3B"/>
        <rFont val="Arial MT"/>
        <family val="2"/>
      </rPr>
      <t>Recuperadora</t>
    </r>
  </si>
  <si>
    <r>
      <rPr>
        <sz val="9"/>
        <color rgb="FF3C3C3B"/>
        <rFont val="Arial MT"/>
        <family val="2"/>
      </rPr>
      <t>Hidrosibimbe</t>
    </r>
  </si>
  <si>
    <r>
      <rPr>
        <sz val="9"/>
        <color rgb="FF3C3C3B"/>
        <rFont val="Arial MT"/>
        <family val="2"/>
      </rPr>
      <t>Sibimbe</t>
    </r>
  </si>
  <si>
    <r>
      <rPr>
        <sz val="9"/>
        <color rgb="FF3C3C3B"/>
        <rFont val="Arial MT"/>
        <family val="2"/>
      </rPr>
      <t>Ventanas</t>
    </r>
  </si>
  <si>
    <r>
      <rPr>
        <sz val="9"/>
        <color rgb="FF3C3C3B"/>
        <rFont val="Arial MT"/>
        <family val="2"/>
      </rPr>
      <t>REPSOL YPF-SPF-2</t>
    </r>
  </si>
  <si>
    <r>
      <rPr>
        <sz val="9"/>
        <color rgb="FF3C3C3B"/>
        <rFont val="Arial MT"/>
        <family val="2"/>
      </rPr>
      <t>Santa Cruz</t>
    </r>
  </si>
  <si>
    <r>
      <rPr>
        <sz val="9"/>
        <color rgb="FF3C3C3B"/>
        <rFont val="Arial MT"/>
        <family val="2"/>
      </rPr>
      <t>Galapagos</t>
    </r>
  </si>
  <si>
    <r>
      <rPr>
        <sz val="9"/>
        <color rgb="FF3C3C3B"/>
        <rFont val="Arial MT"/>
        <family val="2"/>
      </rPr>
      <t>Sacha Norte 2</t>
    </r>
  </si>
  <si>
    <r>
      <rPr>
        <sz val="9"/>
        <color rgb="FF3C3C3B"/>
        <rFont val="Arial MT"/>
        <family val="2"/>
      </rPr>
      <t>Auca</t>
    </r>
  </si>
  <si>
    <r>
      <rPr>
        <sz val="9"/>
        <color rgb="FF3C3C3B"/>
        <rFont val="Arial MT"/>
        <family val="2"/>
      </rPr>
      <t>Tiputini A-1</t>
    </r>
  </si>
  <si>
    <r>
      <rPr>
        <sz val="9"/>
        <color rgb="FF3C3C3B"/>
        <rFont val="Arial MT"/>
        <family val="2"/>
      </rPr>
      <t>Tiputi A-2</t>
    </r>
  </si>
  <si>
    <r>
      <rPr>
        <sz val="9"/>
        <color rgb="FF3C3C3B"/>
        <rFont val="Arial MT"/>
        <family val="2"/>
      </rPr>
      <t>CELEC Sacha</t>
    </r>
  </si>
  <si>
    <r>
      <rPr>
        <sz val="9"/>
        <color rgb="FF3C3C3B"/>
        <rFont val="Arial MT"/>
        <family val="2"/>
      </rPr>
      <t>Payamino</t>
    </r>
  </si>
  <si>
    <r>
      <rPr>
        <sz val="9"/>
        <color rgb="FF3C3C3B"/>
        <rFont val="Arial MT"/>
        <family val="2"/>
      </rPr>
      <t>Cononaco</t>
    </r>
  </si>
  <si>
    <r>
      <rPr>
        <sz val="9"/>
        <color rgb="FF3C3C3B"/>
        <rFont val="Arial MT"/>
        <family val="2"/>
      </rPr>
      <t>Arajuno</t>
    </r>
  </si>
  <si>
    <r>
      <rPr>
        <sz val="9"/>
        <color rgb="FF3C3C3B"/>
        <rFont val="Arial MT"/>
        <family val="2"/>
      </rPr>
      <t>IPNEGAL</t>
    </r>
  </si>
  <si>
    <r>
      <rPr>
        <sz val="9"/>
        <color rgb="FF3C3C3B"/>
        <rFont val="Arial MT"/>
        <family val="2"/>
      </rPr>
      <t>Ipnegal</t>
    </r>
  </si>
  <si>
    <r>
      <rPr>
        <sz val="9"/>
        <color rgb="FF3C3C3B"/>
        <rFont val="Arial MT"/>
        <family val="2"/>
      </rPr>
      <t>E.E. Riobamba</t>
    </r>
  </si>
  <si>
    <r>
      <rPr>
        <sz val="9"/>
        <color rgb="FF3C3C3B"/>
        <rFont val="Arial MT"/>
        <family val="2"/>
      </rPr>
      <t>Alao</t>
    </r>
  </si>
  <si>
    <r>
      <rPr>
        <sz val="9"/>
        <color rgb="FF3C3C3B"/>
        <rFont val="Arial MT"/>
        <family val="2"/>
      </rPr>
      <t>Chimborazo</t>
    </r>
  </si>
  <si>
    <r>
      <rPr>
        <sz val="9"/>
        <color rgb="FF3C3C3B"/>
        <rFont val="Arial MT"/>
        <family val="2"/>
      </rPr>
      <t>Riobamba</t>
    </r>
  </si>
  <si>
    <r>
      <rPr>
        <sz val="9"/>
        <color rgb="FF3C3C3B"/>
        <rFont val="Arial MT"/>
        <family val="2"/>
      </rPr>
      <t>Jivino II</t>
    </r>
  </si>
  <si>
    <r>
      <rPr>
        <sz val="9"/>
        <color rgb="FF3C3C3B"/>
        <rFont val="Arial MT"/>
        <family val="2"/>
      </rPr>
      <t>Hidrovictoria</t>
    </r>
  </si>
  <si>
    <r>
      <rPr>
        <sz val="9"/>
        <color rgb="FF3C3C3B"/>
        <rFont val="Arial MT"/>
        <family val="2"/>
      </rPr>
      <t>Victoria</t>
    </r>
  </si>
  <si>
    <r>
      <rPr>
        <sz val="9"/>
        <color rgb="FF3C3C3B"/>
        <rFont val="Arial MT"/>
        <family val="2"/>
      </rPr>
      <t>Quijos</t>
    </r>
  </si>
  <si>
    <r>
      <rPr>
        <sz val="9"/>
        <color rgb="FF3C3C3B"/>
        <rFont val="Arial MT"/>
        <family val="2"/>
      </rPr>
      <t>Guanta</t>
    </r>
  </si>
  <si>
    <r>
      <rPr>
        <sz val="9"/>
        <color rgb="FF3C3C3B"/>
        <rFont val="Arial MT"/>
        <family val="2"/>
      </rPr>
      <t>Shushufindi Estación Sur-oeste</t>
    </r>
  </si>
  <si>
    <r>
      <rPr>
        <sz val="9"/>
        <color rgb="FF3C3C3B"/>
        <rFont val="Arial MT"/>
        <family val="2"/>
      </rPr>
      <t>Sistemas Menores</t>
    </r>
  </si>
  <si>
    <r>
      <rPr>
        <sz val="9"/>
        <color rgb="FF3C3C3B"/>
        <rFont val="Arial MT"/>
        <family val="2"/>
      </rPr>
      <t>Putumayo</t>
    </r>
  </si>
  <si>
    <r>
      <rPr>
        <sz val="9"/>
        <color rgb="FF3C3C3B"/>
        <rFont val="Arial MT"/>
        <family val="2"/>
      </rPr>
      <t>Yuralpa</t>
    </r>
  </si>
  <si>
    <r>
      <rPr>
        <sz val="9"/>
        <color rgb="FF3C3C3B"/>
        <rFont val="Arial MT"/>
        <family val="2"/>
      </rPr>
      <t>VHR</t>
    </r>
  </si>
  <si>
    <r>
      <rPr>
        <sz val="9"/>
        <color rgb="FF3C3C3B"/>
        <rFont val="Arial MT"/>
        <family val="2"/>
      </rPr>
      <t>La Propicia</t>
    </r>
  </si>
  <si>
    <r>
      <rPr>
        <sz val="9"/>
        <color rgb="FF3C3C3B"/>
        <rFont val="Arial MT"/>
        <family val="2"/>
      </rPr>
      <t>REPSOL YPF-NPF-2</t>
    </r>
  </si>
  <si>
    <r>
      <rPr>
        <sz val="9"/>
        <color rgb="FF3C3C3B"/>
        <rFont val="Arial MT"/>
        <family val="2"/>
      </rPr>
      <t>El Carmen</t>
    </r>
  </si>
  <si>
    <r>
      <rPr>
        <sz val="9"/>
        <color rgb="FF3C3C3B"/>
        <rFont val="Arial MT"/>
        <family val="2"/>
      </rPr>
      <t>Arcolands Shushufindi</t>
    </r>
  </si>
  <si>
    <r>
      <rPr>
        <sz val="9"/>
        <color rgb="FF3C3C3B"/>
        <rFont val="Arial MT"/>
        <family val="2"/>
      </rPr>
      <t>Hidrotambo</t>
    </r>
  </si>
  <si>
    <r>
      <rPr>
        <sz val="9"/>
        <color rgb="FF3C3C3B"/>
        <rFont val="Arial MT"/>
        <family val="2"/>
      </rPr>
      <t>Bolivar</t>
    </r>
  </si>
  <si>
    <r>
      <rPr>
        <sz val="9"/>
        <color rgb="FF3C3C3B"/>
        <rFont val="Arial MT"/>
        <family val="2"/>
      </rPr>
      <t>Chillanes</t>
    </r>
  </si>
  <si>
    <r>
      <rPr>
        <sz val="9"/>
        <color rgb="FF3C3C3B"/>
        <rFont val="Arial MT"/>
        <family val="2"/>
      </rPr>
      <t>E.E. Norte</t>
    </r>
  </si>
  <si>
    <r>
      <rPr>
        <sz val="9"/>
        <color rgb="FF3C3C3B"/>
        <rFont val="Arial MT"/>
        <family val="2"/>
      </rPr>
      <t>Ambi</t>
    </r>
  </si>
  <si>
    <r>
      <rPr>
        <sz val="9"/>
        <color rgb="FF3C3C3B"/>
        <rFont val="Arial MT"/>
        <family val="2"/>
      </rPr>
      <t>Antonio Ante</t>
    </r>
  </si>
  <si>
    <r>
      <rPr>
        <sz val="9"/>
        <color rgb="FF3C3C3B"/>
        <rFont val="Arial MT"/>
        <family val="2"/>
      </rPr>
      <t>Hormiguero C</t>
    </r>
  </si>
  <si>
    <r>
      <rPr>
        <sz val="9"/>
        <color rgb="FF3C3C3B"/>
        <rFont val="Arial MT"/>
        <family val="2"/>
      </rPr>
      <t>Sarayacu</t>
    </r>
  </si>
  <si>
    <r>
      <rPr>
        <sz val="9"/>
        <color rgb="FF3C3C3B"/>
        <rFont val="Arial MT"/>
        <family val="2"/>
      </rPr>
      <t>Archidona</t>
    </r>
  </si>
  <si>
    <r>
      <rPr>
        <sz val="9"/>
        <color rgb="FF3C3C3B"/>
        <rFont val="Arial MT"/>
        <family val="2"/>
      </rPr>
      <t>Coca</t>
    </r>
  </si>
  <si>
    <r>
      <rPr>
        <sz val="9"/>
        <color rgb="FF3C3C3B"/>
        <rFont val="Arial MT"/>
        <family val="2"/>
      </rPr>
      <t>Limoncocha</t>
    </r>
  </si>
  <si>
    <r>
      <rPr>
        <sz val="9"/>
        <color rgb="FF3C3C3B"/>
        <rFont val="Arial MT"/>
        <family val="2"/>
      </rPr>
      <t>Sipec</t>
    </r>
  </si>
  <si>
    <r>
      <rPr>
        <sz val="9"/>
        <color rgb="FF3C3C3B"/>
        <rFont val="Arial MT"/>
        <family val="2"/>
      </rPr>
      <t>MDC-CPF</t>
    </r>
  </si>
  <si>
    <r>
      <rPr>
        <sz val="9"/>
        <color rgb="FF3C3C3B"/>
        <rFont val="Arial MT"/>
        <family val="2"/>
      </rPr>
      <t>Celso Castellanos</t>
    </r>
  </si>
  <si>
    <r>
      <rPr>
        <sz val="9"/>
        <color rgb="FF3C3C3B"/>
        <rFont val="Arial MT"/>
        <family val="2"/>
      </rPr>
      <t>REPSOL YPF-SSFD</t>
    </r>
  </si>
  <si>
    <r>
      <rPr>
        <sz val="9"/>
        <color rgb="FF3C3C3B"/>
        <rFont val="Arial MT"/>
        <family val="2"/>
      </rPr>
      <t>Sansahuari</t>
    </r>
  </si>
  <si>
    <r>
      <rPr>
        <sz val="9"/>
        <color rgb="FF3C3C3B"/>
        <rFont val="Arial MT"/>
        <family val="2"/>
      </rPr>
      <t>CELEC-Hidroazogues</t>
    </r>
  </si>
  <si>
    <r>
      <rPr>
        <sz val="9"/>
        <color rgb="FF3C3C3B"/>
        <rFont val="Arial MT"/>
        <family val="2"/>
      </rPr>
      <t>Alazán</t>
    </r>
  </si>
  <si>
    <r>
      <rPr>
        <sz val="9"/>
        <color rgb="FF3C3C3B"/>
        <rFont val="Arial MT"/>
        <family val="2"/>
      </rPr>
      <t>Ecoluz</t>
    </r>
  </si>
  <si>
    <r>
      <rPr>
        <sz val="9"/>
        <color rgb="FF3C3C3B"/>
        <rFont val="Arial MT"/>
        <family val="2"/>
      </rPr>
      <t>Papallacta</t>
    </r>
  </si>
  <si>
    <r>
      <rPr>
        <sz val="9"/>
        <color rgb="FF3C3C3B"/>
        <rFont val="Arial MT"/>
        <family val="2"/>
      </rPr>
      <t>OCP Ecuador</t>
    </r>
  </si>
  <si>
    <r>
      <rPr>
        <sz val="9"/>
        <color rgb="FF3C3C3B"/>
        <rFont val="Arial MT"/>
        <family val="2"/>
      </rPr>
      <t>Amazonas</t>
    </r>
  </si>
  <si>
    <r>
      <rPr>
        <sz val="9"/>
        <color rgb="FF3C3C3B"/>
        <rFont val="Arial MT"/>
        <family val="2"/>
      </rPr>
      <t>San Cristóbal</t>
    </r>
  </si>
  <si>
    <r>
      <rPr>
        <sz val="9"/>
        <color rgb="FF3C3C3B"/>
        <rFont val="Arial MT"/>
        <family val="2"/>
      </rPr>
      <t>Vicunha</t>
    </r>
  </si>
  <si>
    <r>
      <rPr>
        <sz val="9"/>
        <color rgb="FF3C3C3B"/>
        <rFont val="Arial MT"/>
        <family val="2"/>
      </rPr>
      <t>Vindobona</t>
    </r>
  </si>
  <si>
    <r>
      <rPr>
        <sz val="9"/>
        <color rgb="FF3C3C3B"/>
        <rFont val="Arial MT"/>
        <family val="2"/>
      </rPr>
      <t>Tapir A</t>
    </r>
  </si>
  <si>
    <r>
      <rPr>
        <sz val="9"/>
        <color rgb="FF3C3C3B"/>
        <rFont val="Arial MT"/>
        <family val="2"/>
      </rPr>
      <t>Gasgreen</t>
    </r>
  </si>
  <si>
    <r>
      <rPr>
        <sz val="9"/>
        <color rgb="FF3C3C3B"/>
        <rFont val="Arial MT"/>
        <family val="2"/>
      </rPr>
      <t>El Inga</t>
    </r>
  </si>
  <si>
    <r>
      <rPr>
        <sz val="9"/>
        <color rgb="FF3C3C3B"/>
        <rFont val="Arial MT"/>
        <family val="2"/>
      </rPr>
      <t>Biogás</t>
    </r>
  </si>
  <si>
    <r>
      <rPr>
        <sz val="9"/>
        <color rgb="FF3C3C3B"/>
        <rFont val="Arial MT"/>
        <family val="2"/>
      </rPr>
      <t>Yuca</t>
    </r>
  </si>
  <si>
    <r>
      <rPr>
        <sz val="9"/>
        <color rgb="FF3C3C3B"/>
        <rFont val="Arial MT"/>
        <family val="2"/>
      </rPr>
      <t>Jivino I</t>
    </r>
  </si>
  <si>
    <r>
      <rPr>
        <sz val="9"/>
        <color rgb="FF3C3C3B"/>
        <rFont val="Arial MT"/>
        <family val="2"/>
      </rPr>
      <t>Dorine Battery</t>
    </r>
  </si>
  <si>
    <r>
      <rPr>
        <sz val="9"/>
        <color rgb="FF3C3C3B"/>
        <rFont val="Arial MT"/>
        <family val="2"/>
      </rPr>
      <t>Sardinas</t>
    </r>
  </si>
  <si>
    <r>
      <rPr>
        <sz val="9"/>
        <color rgb="FF3C3C3B"/>
        <rFont val="Arial MT"/>
        <family val="2"/>
      </rPr>
      <t>E.E. Cotopaxi</t>
    </r>
  </si>
  <si>
    <r>
      <rPr>
        <sz val="9"/>
        <color rgb="FF3C3C3B"/>
        <rFont val="Arial MT"/>
        <family val="2"/>
      </rPr>
      <t>Illuchi No.2</t>
    </r>
  </si>
  <si>
    <r>
      <rPr>
        <sz val="9"/>
        <color rgb="FF3C3C3B"/>
        <rFont val="Arial MT"/>
        <family val="2"/>
      </rPr>
      <t>Latacunga</t>
    </r>
  </si>
  <si>
    <r>
      <rPr>
        <sz val="9"/>
        <color rgb="FF3C3C3B"/>
        <rFont val="Arial MT"/>
        <family val="2"/>
      </rPr>
      <t>RS Roth Shushufindi Drago 2</t>
    </r>
  </si>
  <si>
    <r>
      <rPr>
        <sz val="9"/>
        <color rgb="FF3C3C3B"/>
        <rFont val="Arial MT"/>
        <family val="2"/>
      </rPr>
      <t>Paka Sur</t>
    </r>
  </si>
  <si>
    <r>
      <rPr>
        <sz val="9"/>
        <color rgb="FF3C3C3B"/>
        <rFont val="Arial MT"/>
        <family val="2"/>
      </rPr>
      <t>Pasochoa</t>
    </r>
  </si>
  <si>
    <r>
      <rPr>
        <sz val="9"/>
        <color rgb="FF3C3C3B"/>
        <rFont val="Arial MT"/>
        <family val="2"/>
      </rPr>
      <t>Central de Procesos Tiputini</t>
    </r>
  </si>
  <si>
    <r>
      <rPr>
        <sz val="9"/>
        <color rgb="FF3C3C3B"/>
        <rFont val="Arial MT"/>
        <family val="2"/>
      </rPr>
      <t>Nantu D</t>
    </r>
  </si>
  <si>
    <r>
      <rPr>
        <sz val="9"/>
        <color rgb="FF3C3C3B"/>
        <rFont val="Arial MT"/>
        <family val="2"/>
      </rPr>
      <t>Auca 51</t>
    </r>
  </si>
  <si>
    <r>
      <rPr>
        <sz val="9"/>
        <color rgb="FF3C3C3B"/>
        <rFont val="Arial MT"/>
        <family val="2"/>
      </rPr>
      <t>Villano A</t>
    </r>
  </si>
  <si>
    <r>
      <rPr>
        <sz val="9"/>
        <color rgb="FF3C3C3B"/>
        <rFont val="Arial MT"/>
        <family val="2"/>
      </rPr>
      <t>Palmar Oeste</t>
    </r>
  </si>
  <si>
    <r>
      <rPr>
        <sz val="9"/>
        <color rgb="FF3C3C3B"/>
        <rFont val="Arial MT"/>
        <family val="2"/>
      </rPr>
      <t>Isabela</t>
    </r>
  </si>
  <si>
    <r>
      <rPr>
        <sz val="9"/>
        <color rgb="FF3C3C3B"/>
        <rFont val="Arial MT"/>
        <family val="2"/>
      </rPr>
      <t>Hormiguero Sur</t>
    </r>
  </si>
  <si>
    <r>
      <rPr>
        <sz val="9"/>
        <color rgb="FF3C3C3B"/>
        <rFont val="Arial MT"/>
        <family val="2"/>
      </rPr>
      <t>Wanke 1</t>
    </r>
  </si>
  <si>
    <r>
      <rPr>
        <sz val="9"/>
        <color rgb="FF3C3C3B"/>
        <rFont val="Arial MT"/>
        <family val="2"/>
      </rPr>
      <t>Illuchi No.1</t>
    </r>
  </si>
  <si>
    <r>
      <rPr>
        <sz val="9"/>
        <color rgb="FF3C3C3B"/>
        <rFont val="Arial MT"/>
        <family val="2"/>
      </rPr>
      <t>Macas</t>
    </r>
  </si>
  <si>
    <r>
      <rPr>
        <sz val="9"/>
        <color rgb="FF3C3C3B"/>
        <rFont val="Arial MT"/>
        <family val="2"/>
      </rPr>
      <t>Tapi</t>
    </r>
  </si>
  <si>
    <r>
      <rPr>
        <sz val="9"/>
        <color rgb="FF3C3C3B"/>
        <rFont val="Arial MT"/>
        <family val="2"/>
      </rPr>
      <t>Pedernales</t>
    </r>
  </si>
  <si>
    <r>
      <rPr>
        <sz val="9"/>
        <color rgb="FF3C3C3B"/>
        <rFont val="Arial MT"/>
        <family val="2"/>
      </rPr>
      <t>Nantu B</t>
    </r>
  </si>
  <si>
    <r>
      <rPr>
        <sz val="9"/>
        <color rgb="FF3C3C3B"/>
        <rFont val="Arial MT"/>
        <family val="2"/>
      </rPr>
      <t>Gacela</t>
    </r>
  </si>
  <si>
    <r>
      <rPr>
        <sz val="9"/>
        <color rgb="FF3C3C3B"/>
        <rFont val="Arial MT"/>
        <family val="2"/>
      </rPr>
      <t>E.E. Ambato</t>
    </r>
  </si>
  <si>
    <r>
      <rPr>
        <sz val="9"/>
        <color rgb="FF3C3C3B"/>
        <rFont val="Arial MT"/>
        <family val="2"/>
      </rPr>
      <t>Lligua</t>
    </r>
  </si>
  <si>
    <r>
      <rPr>
        <sz val="9"/>
        <color rgb="FF3C3C3B"/>
        <rFont val="Arial MT"/>
        <family val="2"/>
      </rPr>
      <t>Ambato</t>
    </r>
  </si>
  <si>
    <r>
      <rPr>
        <sz val="9"/>
        <color rgb="FF3C3C3B"/>
        <rFont val="Arial MT"/>
        <family val="2"/>
      </rPr>
      <t>Sacha Sur GAS Wakesha</t>
    </r>
  </si>
  <si>
    <r>
      <rPr>
        <sz val="9"/>
        <color rgb="FF3C3C3B"/>
        <rFont val="Arial MT"/>
        <family val="2"/>
      </rPr>
      <t>Cayagama</t>
    </r>
  </si>
  <si>
    <r>
      <rPr>
        <sz val="9"/>
        <color rgb="FF3C3C3B"/>
        <rFont val="Arial MT"/>
        <family val="2"/>
      </rPr>
      <t>Sacha Norte 1</t>
    </r>
  </si>
  <si>
    <r>
      <rPr>
        <sz val="9"/>
        <color rgb="FF3C3C3B"/>
        <rFont val="Arial MT"/>
        <family val="2"/>
      </rPr>
      <t>Sacha Sur</t>
    </r>
  </si>
  <si>
    <r>
      <rPr>
        <sz val="9"/>
        <color rgb="FF3C3C3B"/>
        <rFont val="Arial MT"/>
        <family val="2"/>
      </rPr>
      <t>Mariann Vieja</t>
    </r>
  </si>
  <si>
    <r>
      <rPr>
        <sz val="9"/>
        <color rgb="FF3C3C3B"/>
        <rFont val="Arial MT"/>
        <family val="2"/>
      </rPr>
      <t>Río Blanco</t>
    </r>
  </si>
  <si>
    <r>
      <rPr>
        <sz val="9"/>
        <color rgb="FF3C3C3B"/>
        <rFont val="Arial MT"/>
        <family val="2"/>
      </rPr>
      <t>Hormiguero D</t>
    </r>
  </si>
  <si>
    <r>
      <rPr>
        <sz val="9"/>
        <color rgb="FF3C3C3B"/>
        <rFont val="Arial MT"/>
        <family val="2"/>
      </rPr>
      <t>Tetete</t>
    </r>
  </si>
  <si>
    <r>
      <rPr>
        <sz val="9"/>
        <color rgb="FF3C3C3B"/>
        <rFont val="Arial MT"/>
        <family val="2"/>
      </rPr>
      <t>Península</t>
    </r>
  </si>
  <si>
    <r>
      <rPr>
        <sz val="9"/>
        <color rgb="FF3C3C3B"/>
        <rFont val="Arial MT"/>
        <family val="2"/>
      </rPr>
      <t>CUYABENO E</t>
    </r>
  </si>
  <si>
    <r>
      <rPr>
        <sz val="9"/>
        <color rgb="FF3C3C3B"/>
        <rFont val="Arial MT"/>
        <family val="2"/>
      </rPr>
      <t>Vinita</t>
    </r>
  </si>
  <si>
    <r>
      <rPr>
        <sz val="9"/>
        <color rgb="FF3C3C3B"/>
        <rFont val="Arial MT"/>
        <family val="2"/>
      </rPr>
      <t>Dumbique</t>
    </r>
  </si>
  <si>
    <r>
      <rPr>
        <sz val="9"/>
        <color rgb="FF3C3C3B"/>
        <rFont val="Arial MT"/>
        <family val="2"/>
      </rPr>
      <t>Páramo</t>
    </r>
  </si>
  <si>
    <r>
      <rPr>
        <sz val="9"/>
        <color rgb="FF3C3C3B"/>
        <rFont val="Arial MT"/>
        <family val="2"/>
      </rPr>
      <t>San Miguel de Car</t>
    </r>
  </si>
  <si>
    <r>
      <rPr>
        <sz val="9"/>
        <color rgb="FF3C3C3B"/>
        <rFont val="Arial MT"/>
        <family val="2"/>
      </rPr>
      <t>Carchi</t>
    </r>
  </si>
  <si>
    <r>
      <rPr>
        <sz val="9"/>
        <color rgb="FF3C3C3B"/>
        <rFont val="Arial MT"/>
        <family val="2"/>
      </rPr>
      <t>Puná Nueva</t>
    </r>
  </si>
  <si>
    <r>
      <rPr>
        <sz val="9"/>
        <color rgb="FF3C3C3B"/>
        <rFont val="Arial MT"/>
        <family val="2"/>
      </rPr>
      <t>UCEM</t>
    </r>
  </si>
  <si>
    <r>
      <rPr>
        <sz val="9"/>
        <color rgb="FF3C3C3B"/>
        <rFont val="Arial MT"/>
        <family val="2"/>
      </rPr>
      <t>Planta Guapán</t>
    </r>
  </si>
  <si>
    <r>
      <rPr>
        <sz val="9"/>
        <color rgb="FF3C3C3B"/>
        <rFont val="Arial MT"/>
        <family val="2"/>
      </rPr>
      <t>Perlabí</t>
    </r>
  </si>
  <si>
    <r>
      <rPr>
        <sz val="9"/>
        <color rgb="FF3C3C3B"/>
        <rFont val="Arial MT"/>
        <family val="2"/>
      </rPr>
      <t>Carlos Mora</t>
    </r>
  </si>
  <si>
    <r>
      <rPr>
        <sz val="9"/>
        <color rgb="FF3C3C3B"/>
        <rFont val="Arial MT"/>
        <family val="2"/>
      </rPr>
      <t>E.E. Galápagos</t>
    </r>
  </si>
  <si>
    <r>
      <rPr>
        <sz val="9"/>
        <color rgb="FF3C3C3B"/>
        <rFont val="Arial MT"/>
        <family val="2"/>
      </rPr>
      <t>San Cristóbal Eólico</t>
    </r>
  </si>
  <si>
    <r>
      <rPr>
        <sz val="9"/>
        <color rgb="FF3C3C3B"/>
        <rFont val="Arial MT"/>
        <family val="2"/>
      </rPr>
      <t>RS Roth Shushufindi Drago N1</t>
    </r>
  </si>
  <si>
    <r>
      <rPr>
        <sz val="9"/>
        <color rgb="FF3C3C3B"/>
        <rFont val="Arial MT"/>
        <family val="2"/>
      </rPr>
      <t>Shushufindi Norte</t>
    </r>
  </si>
  <si>
    <r>
      <rPr>
        <sz val="9"/>
        <color rgb="FF3C3C3B"/>
        <rFont val="Arial MT"/>
        <family val="2"/>
      </rPr>
      <t>Sunka 1</t>
    </r>
  </si>
  <si>
    <r>
      <rPr>
        <sz val="9"/>
        <color rgb="FF3C3C3B"/>
        <rFont val="Arial MT"/>
        <family val="2"/>
      </rPr>
      <t>PBHI-INCHI A</t>
    </r>
  </si>
  <si>
    <r>
      <rPr>
        <sz val="9"/>
        <color rgb="FF3C3C3B"/>
        <rFont val="Arial MT"/>
        <family val="2"/>
      </rPr>
      <t>Indillana</t>
    </r>
  </si>
  <si>
    <r>
      <rPr>
        <sz val="9"/>
        <color rgb="FF3C3C3B"/>
        <rFont val="Arial MT"/>
        <family val="2"/>
      </rPr>
      <t>Baltra Eólico</t>
    </r>
  </si>
  <si>
    <r>
      <rPr>
        <sz val="9"/>
        <color rgb="FF3C3C3B"/>
        <rFont val="Arial MT"/>
        <family val="2"/>
      </rPr>
      <t>Loreto</t>
    </r>
  </si>
  <si>
    <r>
      <rPr>
        <sz val="9"/>
        <color rgb="FF3C3C3B"/>
        <rFont val="Arial MT"/>
        <family val="2"/>
      </rPr>
      <t>Auca Central</t>
    </r>
  </si>
  <si>
    <r>
      <rPr>
        <sz val="9"/>
        <color rgb="FF3C3C3B"/>
        <rFont val="Arial MT"/>
        <family val="2"/>
      </rPr>
      <t>Aguajal</t>
    </r>
  </si>
  <si>
    <r>
      <rPr>
        <sz val="9"/>
        <color rgb="FF3C3C3B"/>
        <rFont val="Arial MT"/>
        <family val="2"/>
      </rPr>
      <t>Gransolar</t>
    </r>
  </si>
  <si>
    <r>
      <rPr>
        <sz val="9"/>
        <color rgb="FF3C3C3B"/>
        <rFont val="Arial MT"/>
        <family val="2"/>
      </rPr>
      <t>Salinas</t>
    </r>
  </si>
  <si>
    <r>
      <rPr>
        <sz val="9"/>
        <color rgb="FF3C3C3B"/>
        <rFont val="Arial MT"/>
        <family val="2"/>
      </rPr>
      <t>Ibarra</t>
    </r>
  </si>
  <si>
    <r>
      <rPr>
        <sz val="9"/>
        <color rgb="FF3C3C3B"/>
        <rFont val="Arial MT"/>
        <family val="2"/>
      </rPr>
      <t>Fotovoltaica</t>
    </r>
  </si>
  <si>
    <r>
      <rPr>
        <sz val="9"/>
        <color rgb="FF3C3C3B"/>
        <rFont val="Arial MT"/>
        <family val="2"/>
      </rPr>
      <t>I.M. Mejía</t>
    </r>
  </si>
  <si>
    <r>
      <rPr>
        <sz val="9"/>
        <color rgb="FF3C3C3B"/>
        <rFont val="Arial MT"/>
        <family val="2"/>
      </rPr>
      <t>La Calera</t>
    </r>
  </si>
  <si>
    <r>
      <rPr>
        <sz val="9"/>
        <color rgb="FF3C3C3B"/>
        <rFont val="Arial MT"/>
        <family val="2"/>
      </rPr>
      <t>Nantu C</t>
    </r>
  </si>
  <si>
    <r>
      <rPr>
        <sz val="9"/>
        <color rgb="FF3C3C3B"/>
        <rFont val="Arial MT"/>
        <family val="2"/>
      </rPr>
      <t>Planta Chimborazo</t>
    </r>
  </si>
  <si>
    <r>
      <rPr>
        <sz val="9"/>
        <color rgb="FF3C3C3B"/>
        <rFont val="Arial MT"/>
        <family val="2"/>
      </rPr>
      <t>Pakay</t>
    </r>
  </si>
  <si>
    <r>
      <rPr>
        <sz val="9"/>
        <color rgb="FF3C3C3B"/>
        <rFont val="Arial MT"/>
        <family val="2"/>
      </rPr>
      <t>Tambococha A</t>
    </r>
  </si>
  <si>
    <r>
      <rPr>
        <sz val="9"/>
        <color rgb="FF3C3C3B"/>
        <rFont val="Arial MT"/>
        <family val="2"/>
      </rPr>
      <t>Kupi 1</t>
    </r>
  </si>
  <si>
    <r>
      <rPr>
        <sz val="9"/>
        <color rgb="FF3C3C3B"/>
        <rFont val="Arial MT"/>
        <family val="2"/>
      </rPr>
      <t>Dayuma</t>
    </r>
  </si>
  <si>
    <r>
      <rPr>
        <sz val="9"/>
        <color rgb="FF3C3C3B"/>
        <rFont val="Arial MT"/>
        <family val="2"/>
      </rPr>
      <t>Frontera</t>
    </r>
  </si>
  <si>
    <r>
      <rPr>
        <sz val="9"/>
        <color rgb="FF3C3C3B"/>
        <rFont val="Arial MT"/>
        <family val="2"/>
      </rPr>
      <t>Los Chillos</t>
    </r>
  </si>
  <si>
    <r>
      <rPr>
        <sz val="9"/>
        <color rgb="FF3C3C3B"/>
        <rFont val="Arial MT"/>
        <family val="2"/>
      </rPr>
      <t>Rumiñahui</t>
    </r>
  </si>
  <si>
    <r>
      <rPr>
        <sz val="9"/>
        <color rgb="FF3C3C3B"/>
        <rFont val="Arial MT"/>
        <family val="2"/>
      </rPr>
      <t>Mono</t>
    </r>
  </si>
  <si>
    <r>
      <rPr>
        <sz val="9"/>
        <color rgb="FF3C3C3B"/>
        <rFont val="Arial MT"/>
        <family val="2"/>
      </rPr>
      <t>Terminal Marítimo</t>
    </r>
  </si>
  <si>
    <r>
      <rPr>
        <sz val="9"/>
        <color rgb="FF3C3C3B"/>
        <rFont val="Arial MT"/>
        <family val="2"/>
      </rPr>
      <t>El Estado</t>
    </r>
  </si>
  <si>
    <r>
      <rPr>
        <sz val="9"/>
        <color rgb="FF3C3C3B"/>
        <rFont val="Arial MT"/>
        <family val="2"/>
      </rPr>
      <t>Moderna Alimentos</t>
    </r>
  </si>
  <si>
    <r>
      <rPr>
        <sz val="9"/>
        <color rgb="FF3C3C3B"/>
        <rFont val="Arial MT"/>
        <family val="2"/>
      </rPr>
      <t>Geppert</t>
    </r>
  </si>
  <si>
    <r>
      <rPr>
        <sz val="9"/>
        <color rgb="FF3C3C3B"/>
        <rFont val="Arial MT"/>
        <family val="2"/>
      </rPr>
      <t>Cayambe</t>
    </r>
  </si>
  <si>
    <r>
      <rPr>
        <sz val="9"/>
        <color rgb="FF3C3C3B"/>
        <rFont val="Arial MT"/>
        <family val="2"/>
      </rPr>
      <t>Nenke</t>
    </r>
  </si>
  <si>
    <r>
      <rPr>
        <sz val="9"/>
        <color rgb="FF3C3C3B"/>
        <rFont val="Arial MT"/>
        <family val="2"/>
      </rPr>
      <t>Santa Cruz Solar Puerto Ayora</t>
    </r>
  </si>
  <si>
    <r>
      <rPr>
        <sz val="9"/>
        <color rgb="FF3C3C3B"/>
        <rFont val="Arial MT"/>
        <family val="2"/>
      </rPr>
      <t>Tecpetrol</t>
    </r>
  </si>
  <si>
    <r>
      <rPr>
        <sz val="9"/>
        <color rgb="FF3C3C3B"/>
        <rFont val="Arial MT"/>
        <family val="2"/>
      </rPr>
      <t>Planta de Agua</t>
    </r>
  </si>
  <si>
    <r>
      <rPr>
        <sz val="9"/>
        <color rgb="FF3C3C3B"/>
        <rFont val="Arial MT"/>
        <family val="2"/>
      </rPr>
      <t>Cascales</t>
    </r>
  </si>
  <si>
    <r>
      <rPr>
        <sz val="9"/>
        <color rgb="FF3C3C3B"/>
        <rFont val="Arial MT"/>
        <family val="2"/>
      </rPr>
      <t>Kupi 4</t>
    </r>
  </si>
  <si>
    <r>
      <rPr>
        <sz val="9"/>
        <color rgb="FF3C3C3B"/>
        <rFont val="Arial MT"/>
        <family val="2"/>
      </rPr>
      <t>PBH-PAR12</t>
    </r>
  </si>
  <si>
    <r>
      <rPr>
        <sz val="9"/>
        <color rgb="FF3C3C3B"/>
        <rFont val="Arial MT"/>
        <family val="2"/>
      </rPr>
      <t>Pucuna</t>
    </r>
  </si>
  <si>
    <r>
      <rPr>
        <sz val="9"/>
        <color rgb="FF3C3C3B"/>
        <rFont val="Arial MT"/>
        <family val="2"/>
      </rPr>
      <t>Pindo</t>
    </r>
  </si>
  <si>
    <r>
      <rPr>
        <sz val="9"/>
        <color rgb="FF3C3C3B"/>
        <rFont val="Arial MT"/>
        <family val="2"/>
      </rPr>
      <t>Kohler</t>
    </r>
  </si>
  <si>
    <r>
      <rPr>
        <sz val="9"/>
        <color rgb="FF3C3C3B"/>
        <rFont val="Arial MT"/>
        <family val="2"/>
      </rPr>
      <t>Itaya A</t>
    </r>
  </si>
  <si>
    <r>
      <rPr>
        <sz val="9"/>
        <color rgb="FF3C3C3B"/>
        <rFont val="Arial MT"/>
        <family val="2"/>
      </rPr>
      <t>Tapir B</t>
    </r>
  </si>
  <si>
    <r>
      <rPr>
        <sz val="9"/>
        <color rgb="FF3C3C3B"/>
        <rFont val="Arial MT"/>
        <family val="2"/>
      </rPr>
      <t>Lago Agrio LTF</t>
    </r>
  </si>
  <si>
    <r>
      <rPr>
        <sz val="9"/>
        <color rgb="FF3C3C3B"/>
        <rFont val="Arial MT"/>
        <family val="2"/>
      </rPr>
      <t>CPH</t>
    </r>
  </si>
  <si>
    <r>
      <rPr>
        <sz val="9"/>
        <color rgb="FF3C3C3B"/>
        <rFont val="Arial MT"/>
        <family val="2"/>
      </rPr>
      <t>Mariann 4A</t>
    </r>
  </si>
  <si>
    <r>
      <rPr>
        <sz val="9"/>
        <color rgb="FF3C3C3B"/>
        <rFont val="Arial MT"/>
        <family val="2"/>
      </rPr>
      <t>La Playa</t>
    </r>
  </si>
  <si>
    <r>
      <rPr>
        <sz val="9"/>
        <color rgb="FF3C3C3B"/>
        <rFont val="Arial MT"/>
        <family val="2"/>
      </rPr>
      <t>Yamanunka</t>
    </r>
  </si>
  <si>
    <r>
      <rPr>
        <sz val="9"/>
        <color rgb="FF3C3C3B"/>
        <rFont val="Arial MT"/>
        <family val="2"/>
      </rPr>
      <t>Estación Sur</t>
    </r>
  </si>
  <si>
    <r>
      <rPr>
        <sz val="9"/>
        <color rgb="FF3C3C3B"/>
        <rFont val="Arial MT"/>
        <family val="2"/>
      </rPr>
      <t>Yanaq Oeste</t>
    </r>
  </si>
  <si>
    <r>
      <rPr>
        <sz val="9"/>
        <color rgb="FF3C3C3B"/>
        <rFont val="Arial MT"/>
        <family val="2"/>
      </rPr>
      <t>Tipishca</t>
    </r>
  </si>
  <si>
    <r>
      <rPr>
        <sz val="9"/>
        <color rgb="FF3C3C3B"/>
        <rFont val="Arial MT"/>
        <family val="2"/>
      </rPr>
      <t>Itaya B</t>
    </r>
  </si>
  <si>
    <r>
      <rPr>
        <sz val="9"/>
        <color rgb="FF3C3C3B"/>
        <rFont val="Arial MT"/>
        <family val="2"/>
      </rPr>
      <t>Lobo</t>
    </r>
  </si>
  <si>
    <r>
      <rPr>
        <sz val="9"/>
        <color rgb="FF3C3C3B"/>
        <rFont val="Arial MT"/>
        <family val="2"/>
      </rPr>
      <t>Penke B</t>
    </r>
  </si>
  <si>
    <r>
      <rPr>
        <sz val="9"/>
        <color rgb="FF3C3C3B"/>
        <rFont val="Arial MT"/>
        <family val="2"/>
      </rPr>
      <t>ZEMI</t>
    </r>
  </si>
  <si>
    <r>
      <rPr>
        <sz val="9"/>
        <color rgb="FF3C3C3B"/>
        <rFont val="Arial MT"/>
        <family val="2"/>
      </rPr>
      <t>Tumali</t>
    </r>
  </si>
  <si>
    <r>
      <rPr>
        <sz val="9"/>
        <color rgb="FF3C3C3B"/>
        <rFont val="Arial MT"/>
        <family val="2"/>
      </rPr>
      <t>Bermejo Sur 1008</t>
    </r>
  </si>
  <si>
    <r>
      <rPr>
        <sz val="9"/>
        <color rgb="FF3C3C3B"/>
        <rFont val="Arial MT"/>
        <family val="2"/>
      </rPr>
      <t>Mariann 5-8</t>
    </r>
  </si>
  <si>
    <r>
      <rPr>
        <sz val="9"/>
        <color rgb="FF3C3C3B"/>
        <rFont val="Arial MT"/>
        <family val="2"/>
      </rPr>
      <t>EMAC-BGP</t>
    </r>
  </si>
  <si>
    <r>
      <rPr>
        <sz val="9"/>
        <color rgb="FF3C3C3B"/>
        <rFont val="Arial MT"/>
        <family val="2"/>
      </rPr>
      <t>Pichacay</t>
    </r>
  </si>
  <si>
    <r>
      <rPr>
        <sz val="9"/>
        <color rgb="FF3C3C3B"/>
        <rFont val="Arial MT"/>
        <family val="2"/>
      </rPr>
      <t>Tren Salinas</t>
    </r>
  </si>
  <si>
    <r>
      <rPr>
        <sz val="9"/>
        <color rgb="FF3C3C3B"/>
        <rFont val="Arial MT"/>
        <family val="2"/>
      </rPr>
      <t>Brineforcorp</t>
    </r>
  </si>
  <si>
    <r>
      <rPr>
        <sz val="9"/>
        <color rgb="FF3C3C3B"/>
        <rFont val="Arial MT"/>
        <family val="2"/>
      </rPr>
      <t>San Vicente</t>
    </r>
  </si>
  <si>
    <r>
      <rPr>
        <sz val="9"/>
        <color rgb="FF3C3C3B"/>
        <rFont val="Arial MT"/>
        <family val="2"/>
      </rPr>
      <t>Sanersol</t>
    </r>
  </si>
  <si>
    <r>
      <rPr>
        <sz val="9"/>
        <color rgb="FF3C3C3B"/>
        <rFont val="Arial MT"/>
        <family val="2"/>
      </rPr>
      <t>Saracaysol</t>
    </r>
  </si>
  <si>
    <r>
      <rPr>
        <sz val="9"/>
        <color rgb="FF3C3C3B"/>
        <rFont val="Arial MT"/>
        <family val="2"/>
      </rPr>
      <t>Solsantros</t>
    </r>
  </si>
  <si>
    <r>
      <rPr>
        <sz val="9"/>
        <color rgb="FF3C3C3B"/>
        <rFont val="Arial MT"/>
        <family val="2"/>
      </rPr>
      <t>Gonzanergy</t>
    </r>
  </si>
  <si>
    <r>
      <rPr>
        <sz val="9"/>
        <color rgb="FF3C3C3B"/>
        <rFont val="Arial MT"/>
        <family val="2"/>
      </rPr>
      <t>Gonzanama</t>
    </r>
  </si>
  <si>
    <r>
      <rPr>
        <sz val="9"/>
        <color rgb="FF3C3C3B"/>
        <rFont val="Arial MT"/>
        <family val="2"/>
      </rPr>
      <t>San Pedro</t>
    </r>
  </si>
  <si>
    <r>
      <rPr>
        <sz val="9"/>
        <color rgb="FF3C3C3B"/>
        <rFont val="Arial MT"/>
        <family val="2"/>
      </rPr>
      <t>Surenergy</t>
    </r>
  </si>
  <si>
    <r>
      <rPr>
        <sz val="9"/>
        <color rgb="FF3C3C3B"/>
        <rFont val="Arial MT"/>
        <family val="2"/>
      </rPr>
      <t>Solchacras</t>
    </r>
  </si>
  <si>
    <r>
      <rPr>
        <sz val="9"/>
        <color rgb="FF3C3C3B"/>
        <rFont val="Arial MT"/>
        <family val="2"/>
      </rPr>
      <t>Solhuaqui</t>
    </r>
  </si>
  <si>
    <r>
      <rPr>
        <sz val="9"/>
        <color rgb="FF3C3C3B"/>
        <rFont val="Arial MT"/>
        <family val="2"/>
      </rPr>
      <t>Solsantonio</t>
    </r>
  </si>
  <si>
    <r>
      <rPr>
        <sz val="9"/>
        <color rgb="FF3C3C3B"/>
        <rFont val="Arial MT"/>
        <family val="2"/>
      </rPr>
      <t>Electrisol</t>
    </r>
  </si>
  <si>
    <r>
      <rPr>
        <sz val="9"/>
        <color rgb="FF3C3C3B"/>
        <rFont val="Arial MT"/>
        <family val="2"/>
      </rPr>
      <t>Pedro Moncayo</t>
    </r>
  </si>
  <si>
    <r>
      <rPr>
        <sz val="9"/>
        <color rgb="FF3C3C3B"/>
        <rFont val="Arial MT"/>
        <family val="2"/>
      </rPr>
      <t>Epfotovoltaica</t>
    </r>
  </si>
  <si>
    <r>
      <rPr>
        <sz val="9"/>
        <color rgb="FF3C3C3B"/>
        <rFont val="Arial MT"/>
        <family val="2"/>
      </rPr>
      <t>Mulaló</t>
    </r>
  </si>
  <si>
    <r>
      <rPr>
        <sz val="9"/>
        <color rgb="FF3C3C3B"/>
        <rFont val="Arial MT"/>
        <family val="2"/>
      </rPr>
      <t>Pastocalle</t>
    </r>
  </si>
  <si>
    <r>
      <rPr>
        <sz val="9"/>
        <color rgb="FF3C3C3B"/>
        <rFont val="Arial MT"/>
        <family val="2"/>
      </rPr>
      <t>Valsolar</t>
    </r>
  </si>
  <si>
    <r>
      <rPr>
        <sz val="9"/>
        <color rgb="FF3C3C3B"/>
        <rFont val="Arial MT"/>
        <family val="2"/>
      </rPr>
      <t>Paragachi</t>
    </r>
  </si>
  <si>
    <r>
      <rPr>
        <sz val="9"/>
        <color rgb="FF3C3C3B"/>
        <rFont val="Arial MT"/>
        <family val="2"/>
      </rPr>
      <t>Pimampiro</t>
    </r>
  </si>
  <si>
    <r>
      <rPr>
        <sz val="9"/>
        <color rgb="FF3C3C3B"/>
        <rFont val="Arial MT"/>
        <family val="2"/>
      </rPr>
      <t>Sansau</t>
    </r>
  </si>
  <si>
    <r>
      <rPr>
        <sz val="9"/>
        <color rgb="FF3C3C3B"/>
        <rFont val="Arial MT"/>
        <family val="2"/>
      </rPr>
      <t>Urbina Jado</t>
    </r>
  </si>
  <si>
    <r>
      <rPr>
        <sz val="9"/>
        <color rgb="FF3C3C3B"/>
        <rFont val="Arial MT"/>
        <family val="2"/>
      </rPr>
      <t>Wildtecsa</t>
    </r>
  </si>
  <si>
    <r>
      <rPr>
        <sz val="9"/>
        <color rgb="FF3C3C3B"/>
        <rFont val="Arial MT"/>
        <family val="2"/>
      </rPr>
      <t>Altgenotec</t>
    </r>
  </si>
  <si>
    <r>
      <rPr>
        <sz val="9"/>
        <color rgb="FF3C3C3B"/>
        <rFont val="Arial MT"/>
        <family val="2"/>
      </rPr>
      <t>Genrenotec</t>
    </r>
  </si>
  <si>
    <r>
      <rPr>
        <sz val="9"/>
        <color rgb="FF3C3C3B"/>
        <rFont val="Arial MT"/>
        <family val="2"/>
      </rPr>
      <t>Uravia</t>
    </r>
  </si>
  <si>
    <r>
      <rPr>
        <sz val="9"/>
        <color rgb="FF3C3C3B"/>
        <rFont val="Arial MT"/>
        <family val="2"/>
      </rPr>
      <t>Corazón</t>
    </r>
  </si>
  <si>
    <r>
      <rPr>
        <sz val="9"/>
        <color rgb="FF3C3C3B"/>
        <rFont val="Arial MT"/>
        <family val="2"/>
      </rPr>
      <t>Anaconda</t>
    </r>
  </si>
  <si>
    <r>
      <rPr>
        <sz val="9"/>
        <color rgb="FF3C3C3B"/>
        <rFont val="Arial MT"/>
        <family val="2"/>
      </rPr>
      <t>Mariann 9</t>
    </r>
  </si>
  <si>
    <r>
      <rPr>
        <sz val="9"/>
        <color rgb="FF3C3C3B"/>
        <rFont val="Arial MT"/>
        <family val="2"/>
      </rPr>
      <t>Gualaceo</t>
    </r>
  </si>
  <si>
    <r>
      <rPr>
        <sz val="9"/>
        <color rgb="FF3C3C3B"/>
        <rFont val="Arial MT"/>
        <family val="2"/>
      </rPr>
      <t>Isabela Solar</t>
    </r>
  </si>
  <si>
    <r>
      <rPr>
        <sz val="9"/>
        <color rgb="FF3C3C3B"/>
        <rFont val="Arial MT"/>
        <family val="2"/>
      </rPr>
      <t>Buenos Aires</t>
    </r>
  </si>
  <si>
    <r>
      <rPr>
        <sz val="9"/>
        <color rgb="FF3C3C3B"/>
        <rFont val="Arial MT"/>
        <family val="2"/>
      </rPr>
      <t>San Miguel de Urcuquí</t>
    </r>
  </si>
  <si>
    <r>
      <rPr>
        <sz val="9"/>
        <color rgb="FF3C3C3B"/>
        <rFont val="Arial MT"/>
        <family val="2"/>
      </rPr>
      <t>Hidroimbabura</t>
    </r>
  </si>
  <si>
    <r>
      <rPr>
        <sz val="9"/>
        <color rgb="FF3C3C3B"/>
        <rFont val="Arial MT"/>
        <family val="2"/>
      </rPr>
      <t>Hidrocarolina</t>
    </r>
  </si>
  <si>
    <r>
      <rPr>
        <sz val="9"/>
        <color rgb="FF3C3C3B"/>
        <rFont val="Arial MT"/>
        <family val="2"/>
      </rPr>
      <t>Bermejo Sur 12</t>
    </r>
  </si>
  <si>
    <r>
      <rPr>
        <sz val="9"/>
        <color rgb="FF3C3C3B"/>
        <rFont val="Arial MT"/>
        <family val="2"/>
      </rPr>
      <t>Hormiguero B</t>
    </r>
  </si>
  <si>
    <r>
      <rPr>
        <sz val="9"/>
        <color rgb="FF3C3C3B"/>
        <rFont val="Arial MT"/>
        <family val="2"/>
      </rPr>
      <t>Arazá</t>
    </r>
  </si>
  <si>
    <r>
      <rPr>
        <sz val="9"/>
        <color rgb="FF3C3C3B"/>
        <rFont val="Arial MT"/>
        <family val="2"/>
      </rPr>
      <t>Mariann Battery</t>
    </r>
  </si>
  <si>
    <r>
      <rPr>
        <sz val="9"/>
        <color rgb="FF3C3C3B"/>
        <rFont val="Arial MT"/>
        <family val="2"/>
      </rPr>
      <t>Shiripuno</t>
    </r>
  </si>
  <si>
    <r>
      <rPr>
        <sz val="9"/>
        <color rgb="FF3C3C3B"/>
        <rFont val="Arial MT"/>
        <family val="2"/>
      </rPr>
      <t>Mariann 30</t>
    </r>
  </si>
  <si>
    <r>
      <rPr>
        <sz val="9"/>
        <color rgb="FF3C3C3B"/>
        <rFont val="Arial MT"/>
        <family val="2"/>
      </rPr>
      <t>Hormiguero A</t>
    </r>
  </si>
  <si>
    <r>
      <rPr>
        <sz val="9"/>
        <color rgb="FF3C3C3B"/>
        <rFont val="Arial MT"/>
        <family val="2"/>
      </rPr>
      <t>Catazacón</t>
    </r>
  </si>
  <si>
    <r>
      <rPr>
        <sz val="9"/>
        <color rgb="FF3C3C3B"/>
        <rFont val="Arial MT"/>
        <family val="2"/>
      </rPr>
      <t>Pangua</t>
    </r>
  </si>
  <si>
    <r>
      <rPr>
        <sz val="9"/>
        <color rgb="FF3C3C3B"/>
        <rFont val="Arial MT"/>
        <family val="2"/>
      </rPr>
      <t>Jivino A</t>
    </r>
  </si>
  <si>
    <r>
      <rPr>
        <sz val="9"/>
        <color rgb="FF3C3C3B"/>
        <rFont val="Arial MT"/>
        <family val="2"/>
      </rPr>
      <t>Nizag</t>
    </r>
  </si>
  <si>
    <r>
      <rPr>
        <sz val="9"/>
        <color rgb="FF3C3C3B"/>
        <rFont val="Arial MT"/>
        <family val="2"/>
      </rPr>
      <t>Dorine H</t>
    </r>
  </si>
  <si>
    <r>
      <rPr>
        <sz val="9"/>
        <color rgb="FF3C3C3B"/>
        <rFont val="Arial MT"/>
        <family val="2"/>
      </rPr>
      <t>Sabiangosolar</t>
    </r>
  </si>
  <si>
    <r>
      <rPr>
        <sz val="9"/>
        <color rgb="FF3C3C3B"/>
        <rFont val="Arial MT"/>
        <family val="2"/>
      </rPr>
      <t>Sabiango Solar</t>
    </r>
  </si>
  <si>
    <r>
      <rPr>
        <sz val="9"/>
        <color rgb="FF3C3C3B"/>
        <rFont val="Arial MT"/>
        <family val="2"/>
      </rPr>
      <t>Estación Rayo</t>
    </r>
  </si>
  <si>
    <r>
      <rPr>
        <sz val="9"/>
        <color rgb="FF3C3C3B"/>
        <rFont val="Arial MT"/>
        <family val="2"/>
      </rPr>
      <t>Lojaenergy</t>
    </r>
  </si>
  <si>
    <r>
      <rPr>
        <sz val="9"/>
        <color rgb="FF3C3C3B"/>
        <rFont val="Arial MT"/>
        <family val="2"/>
      </rPr>
      <t>Renova Loja</t>
    </r>
  </si>
  <si>
    <r>
      <rPr>
        <sz val="9"/>
        <color rgb="FF3C3C3B"/>
        <rFont val="Arial MT"/>
        <family val="2"/>
      </rPr>
      <t>PBH-HUA02</t>
    </r>
  </si>
  <si>
    <r>
      <rPr>
        <sz val="9"/>
        <color rgb="FF3C3C3B"/>
        <rFont val="Arial MT"/>
        <family val="2"/>
      </rPr>
      <t>PBH-PSO24</t>
    </r>
  </si>
  <si>
    <r>
      <rPr>
        <sz val="9"/>
        <color rgb="FF3C3C3B"/>
        <rFont val="Arial MT"/>
        <family val="2"/>
      </rPr>
      <t>Tarapuy</t>
    </r>
  </si>
  <si>
    <r>
      <rPr>
        <sz val="9"/>
        <color rgb="FF3C3C3B"/>
        <rFont val="Arial MT"/>
        <family val="2"/>
      </rPr>
      <t>SERMAA EP</t>
    </r>
  </si>
  <si>
    <r>
      <rPr>
        <sz val="9"/>
        <color rgb="FF3C3C3B"/>
        <rFont val="Arial MT"/>
        <family val="2"/>
      </rPr>
      <t>Fábrica Imbabura</t>
    </r>
  </si>
  <si>
    <r>
      <rPr>
        <sz val="9"/>
        <color rgb="FF3C3C3B"/>
        <rFont val="Arial MT"/>
        <family val="2"/>
      </rPr>
      <t>Orion</t>
    </r>
  </si>
  <si>
    <r>
      <rPr>
        <sz val="9"/>
        <color rgb="FF3C3C3B"/>
        <rFont val="Arial MT"/>
        <family val="2"/>
      </rPr>
      <t>Estación Ocano</t>
    </r>
  </si>
  <si>
    <r>
      <rPr>
        <sz val="9"/>
        <color rgb="FF3C3C3B"/>
        <rFont val="Arial MT"/>
        <family val="2"/>
      </rPr>
      <t>Estación ENO</t>
    </r>
  </si>
  <si>
    <r>
      <rPr>
        <sz val="9"/>
        <color rgb="FF3C3C3B"/>
        <rFont val="Arial MT"/>
        <family val="2"/>
      </rPr>
      <t>Fanny 50</t>
    </r>
  </si>
  <si>
    <r>
      <rPr>
        <sz val="9"/>
        <color rgb="FF3C3C3B"/>
        <rFont val="Arial MT"/>
        <family val="2"/>
      </rPr>
      <t>PBHI-INCHI B</t>
    </r>
  </si>
  <si>
    <r>
      <rPr>
        <sz val="9"/>
        <color rgb="FF3C3C3B"/>
        <rFont val="Arial MT"/>
        <family val="2"/>
      </rPr>
      <t>Paka Norte</t>
    </r>
  </si>
  <si>
    <r>
      <rPr>
        <sz val="9"/>
        <color rgb="FF3C3C3B"/>
        <rFont val="Arial MT"/>
        <family val="2"/>
      </rPr>
      <t>Enersol</t>
    </r>
  </si>
  <si>
    <r>
      <rPr>
        <sz val="9"/>
        <color rgb="FF3C3C3B"/>
        <rFont val="Arial MT"/>
        <family val="2"/>
      </rPr>
      <t>Estación Peña Blanca</t>
    </r>
  </si>
  <si>
    <r>
      <rPr>
        <sz val="9"/>
        <color rgb="FF3C3C3B"/>
        <rFont val="Arial MT"/>
        <family val="2"/>
      </rPr>
      <t>Subestación 4B</t>
    </r>
  </si>
  <si>
    <r>
      <rPr>
        <sz val="9"/>
        <color rgb="FF3C3C3B"/>
        <rFont val="Arial MT"/>
        <family val="2"/>
      </rPr>
      <t>Cedros</t>
    </r>
  </si>
  <si>
    <r>
      <rPr>
        <sz val="9"/>
        <color rgb="FF3C3C3B"/>
        <rFont val="Arial MT"/>
        <family val="2"/>
      </rPr>
      <t>Laguna</t>
    </r>
  </si>
  <si>
    <r>
      <rPr>
        <sz val="9"/>
        <color rgb="FF3C3C3B"/>
        <rFont val="Arial MT"/>
        <family val="2"/>
      </rPr>
      <t>Playas del Cuyabeno</t>
    </r>
  </si>
  <si>
    <r>
      <rPr>
        <sz val="9"/>
        <color rgb="FF3C3C3B"/>
        <rFont val="Arial MT"/>
        <family val="2"/>
      </rPr>
      <t>Hidrotavalo</t>
    </r>
  </si>
  <si>
    <r>
      <rPr>
        <sz val="9"/>
        <color rgb="FF3C3C3B"/>
        <rFont val="Arial MT"/>
        <family val="2"/>
      </rPr>
      <t>Otavalo II</t>
    </r>
  </si>
  <si>
    <r>
      <rPr>
        <sz val="9"/>
        <color rgb="FF3C3C3B"/>
        <rFont val="Arial MT"/>
        <family val="2"/>
      </rPr>
      <t>Otavalo I</t>
    </r>
  </si>
  <si>
    <r>
      <rPr>
        <sz val="9"/>
        <color rgb="FF3C3C3B"/>
        <rFont val="Arial MT"/>
        <family val="2"/>
      </rPr>
      <t>Municipio Cantón Espejo</t>
    </r>
  </si>
  <si>
    <r>
      <rPr>
        <sz val="9"/>
        <color rgb="FF3C3C3B"/>
        <rFont val="Arial MT"/>
        <family val="2"/>
      </rPr>
      <t>Espejo</t>
    </r>
  </si>
  <si>
    <r>
      <rPr>
        <sz val="9"/>
        <color rgb="FF3C3C3B"/>
        <rFont val="Arial MT"/>
        <family val="2"/>
      </rPr>
      <t>E.E. Centro Sur</t>
    </r>
  </si>
  <si>
    <r>
      <rPr>
        <sz val="9"/>
        <color rgb="FF3C3C3B"/>
        <rFont val="Arial MT"/>
        <family val="2"/>
      </rPr>
      <t>Panel Fotovoltaico</t>
    </r>
  </si>
  <si>
    <r>
      <rPr>
        <sz val="9"/>
        <color rgb="FF3C3C3B"/>
        <rFont val="Arial MT"/>
        <family val="2"/>
      </rPr>
      <t>Huamboya</t>
    </r>
  </si>
  <si>
    <r>
      <rPr>
        <sz val="9"/>
        <color rgb="FF3C3C3B"/>
        <rFont val="Arial MT"/>
        <family val="2"/>
      </rPr>
      <t>Sunka 2</t>
    </r>
  </si>
  <si>
    <r>
      <rPr>
        <sz val="9"/>
        <color rgb="FF3C3C3B"/>
        <rFont val="Arial MT"/>
        <family val="2"/>
      </rPr>
      <t>SRF Shushufindi</t>
    </r>
  </si>
  <si>
    <r>
      <rPr>
        <sz val="9"/>
        <color rgb="FF3C3C3B"/>
        <rFont val="Arial MT"/>
        <family val="2"/>
      </rPr>
      <t>Angel Norte</t>
    </r>
  </si>
  <si>
    <r>
      <rPr>
        <sz val="9"/>
        <color rgb="FF3C3C3B"/>
        <rFont val="Arial MT"/>
        <family val="2"/>
      </rPr>
      <t>CDP</t>
    </r>
  </si>
  <si>
    <r>
      <rPr>
        <sz val="9"/>
        <color rgb="FF3C3C3B"/>
        <rFont val="Arial MT"/>
        <family val="2"/>
      </rPr>
      <t>Pañayacu</t>
    </r>
  </si>
  <si>
    <r>
      <rPr>
        <sz val="9"/>
        <color rgb="FF3C3C3B"/>
        <rFont val="Arial MT"/>
        <family val="2"/>
      </rPr>
      <t>Atuntaqui</t>
    </r>
  </si>
  <si>
    <r>
      <rPr>
        <sz val="9"/>
        <color rgb="FF3C3C3B"/>
        <rFont val="Arial MT"/>
        <family val="2"/>
      </rPr>
      <t>Concordia</t>
    </r>
  </si>
  <si>
    <r>
      <rPr>
        <sz val="9"/>
        <color rgb="FF3C3C3B"/>
        <rFont val="Arial MT"/>
        <family val="2"/>
      </rPr>
      <t>Agua y Gas de Sillunchi</t>
    </r>
  </si>
  <si>
    <r>
      <rPr>
        <sz val="9"/>
        <color rgb="FF3C3C3B"/>
        <rFont val="Arial MT"/>
        <family val="2"/>
      </rPr>
      <t>Sillunchi II</t>
    </r>
  </si>
  <si>
    <r>
      <rPr>
        <sz val="9"/>
        <color rgb="FF3C3C3B"/>
        <rFont val="Arial MT"/>
        <family val="2"/>
      </rPr>
      <t>Noroccidente</t>
    </r>
  </si>
  <si>
    <r>
      <rPr>
        <sz val="9"/>
        <color rgb="FF3C3C3B"/>
        <rFont val="Arial MT"/>
        <family val="2"/>
      </rPr>
      <t>Chorongo A</t>
    </r>
  </si>
  <si>
    <r>
      <rPr>
        <sz val="9"/>
        <color rgb="FF3C3C3B"/>
        <rFont val="Arial MT"/>
        <family val="2"/>
      </rPr>
      <t>Jaguar</t>
    </r>
  </si>
  <si>
    <r>
      <rPr>
        <sz val="9"/>
        <color rgb="FF3C3C3B"/>
        <rFont val="Arial MT"/>
        <family val="2"/>
      </rPr>
      <t>Tangay</t>
    </r>
  </si>
  <si>
    <r>
      <rPr>
        <sz val="9"/>
        <color rgb="FF3C3C3B"/>
        <rFont val="Arial MT"/>
        <family val="2"/>
      </rPr>
      <t>Estación Norte</t>
    </r>
  </si>
  <si>
    <r>
      <rPr>
        <sz val="9"/>
        <color rgb="FF3C3C3B"/>
        <rFont val="Arial MT"/>
        <family val="2"/>
      </rPr>
      <t>Pacayacu</t>
    </r>
  </si>
  <si>
    <r>
      <rPr>
        <sz val="9"/>
        <color rgb="FF3C3C3B"/>
        <rFont val="Arial MT"/>
        <family val="2"/>
      </rPr>
      <t>Dorine G</t>
    </r>
  </si>
  <si>
    <r>
      <rPr>
        <sz val="9"/>
        <color rgb="FF3C3C3B"/>
        <rFont val="Arial MT"/>
        <family val="2"/>
      </rPr>
      <t>Angamarca</t>
    </r>
  </si>
  <si>
    <r>
      <rPr>
        <sz val="9"/>
        <color rgb="FF3C3C3B"/>
        <rFont val="Arial MT"/>
        <family val="2"/>
      </rPr>
      <t>Taisha</t>
    </r>
  </si>
  <si>
    <r>
      <rPr>
        <sz val="9"/>
        <color rgb="FF3C3C3B"/>
        <rFont val="Arial MT"/>
        <family val="2"/>
      </rPr>
      <t>Floreana</t>
    </r>
  </si>
  <si>
    <r>
      <rPr>
        <sz val="9"/>
        <color rgb="FF3C3C3B"/>
        <rFont val="Arial MT"/>
        <family val="2"/>
      </rPr>
      <t>Jivino C</t>
    </r>
  </si>
  <si>
    <r>
      <rPr>
        <sz val="9"/>
        <color rgb="FF3C3C3B"/>
        <rFont val="Arial MT"/>
        <family val="2"/>
      </rPr>
      <t>Estación Ron</t>
    </r>
  </si>
  <si>
    <r>
      <rPr>
        <sz val="9"/>
        <color rgb="FF3C3C3B"/>
        <rFont val="Arial MT"/>
        <family val="2"/>
      </rPr>
      <t>PBH-Estación</t>
    </r>
  </si>
  <si>
    <r>
      <rPr>
        <sz val="9"/>
        <color rgb="FF3C3C3B"/>
        <rFont val="Arial MT"/>
        <family val="2"/>
      </rPr>
      <t>Electrocordova</t>
    </r>
  </si>
  <si>
    <r>
      <rPr>
        <sz val="9"/>
        <color rgb="FF3C3C3B"/>
        <rFont val="Arial MT"/>
        <family val="2"/>
      </rPr>
      <t>Electrocórdova</t>
    </r>
  </si>
  <si>
    <r>
      <rPr>
        <sz val="9"/>
        <color rgb="FF3C3C3B"/>
        <rFont val="Arial MT"/>
        <family val="2"/>
      </rPr>
      <t>Estación Mira</t>
    </r>
  </si>
  <si>
    <r>
      <rPr>
        <sz val="9"/>
        <color rgb="FF3C3C3B"/>
        <rFont val="Arial MT"/>
        <family val="2"/>
      </rPr>
      <t>Chiquilpe</t>
    </r>
  </si>
  <si>
    <r>
      <rPr>
        <sz val="9"/>
        <color rgb="FF3C3C3B"/>
        <rFont val="Arial MT"/>
        <family val="2"/>
      </rPr>
      <t>Puerto Quito</t>
    </r>
  </si>
  <si>
    <r>
      <rPr>
        <sz val="9"/>
        <color rgb="FF3C3C3B"/>
        <rFont val="Arial MT"/>
        <family val="2"/>
      </rPr>
      <t>Pedro Vicente Maldonado</t>
    </r>
  </si>
  <si>
    <r>
      <rPr>
        <sz val="9"/>
        <color rgb="FF3C3C3B"/>
        <rFont val="Arial MT"/>
        <family val="2"/>
      </rPr>
      <t>Bermejo Este</t>
    </r>
  </si>
  <si>
    <r>
      <rPr>
        <sz val="9"/>
        <color rgb="FF3C3C3B"/>
        <rFont val="Arial MT"/>
        <family val="2"/>
      </rPr>
      <t>Estación Dayuma</t>
    </r>
  </si>
  <si>
    <r>
      <rPr>
        <sz val="9"/>
        <color rgb="FF3C3C3B"/>
        <rFont val="Arial MT"/>
        <family val="2"/>
      </rPr>
      <t>Pañacocha</t>
    </r>
  </si>
  <si>
    <r>
      <rPr>
        <sz val="9"/>
        <color rgb="FF3C3C3B"/>
        <rFont val="Arial MT"/>
        <family val="2"/>
      </rPr>
      <t>Estación CFE</t>
    </r>
  </si>
  <si>
    <r>
      <rPr>
        <sz val="9"/>
        <color rgb="FF3C3C3B"/>
        <rFont val="Arial MT"/>
        <family val="2"/>
      </rPr>
      <t>PCC-Tierras Orientales</t>
    </r>
  </si>
  <si>
    <r>
      <rPr>
        <sz val="9"/>
        <color rgb="FF3C3C3B"/>
        <rFont val="Arial MT"/>
        <family val="2"/>
      </rPr>
      <t>Sillunchi I</t>
    </r>
  </si>
  <si>
    <r>
      <rPr>
        <sz val="9"/>
        <color rgb="FF3C3C3B"/>
        <rFont val="Arial MT"/>
        <family val="2"/>
      </rPr>
      <t>Baltra Solar</t>
    </r>
  </si>
  <si>
    <r>
      <rPr>
        <sz val="9"/>
        <color rgb="FF3C3C3B"/>
        <rFont val="Arial MT"/>
        <family val="2"/>
      </rPr>
      <t>Consejo Provincial De Tungurahua</t>
    </r>
  </si>
  <si>
    <r>
      <rPr>
        <sz val="9"/>
        <color rgb="FF3C3C3B"/>
        <rFont val="Arial MT"/>
        <family val="2"/>
      </rPr>
      <t>Tiliví</t>
    </r>
  </si>
  <si>
    <r>
      <rPr>
        <sz val="9"/>
        <color rgb="FF3C3C3B"/>
        <rFont val="Arial MT"/>
        <family val="2"/>
      </rPr>
      <t>Carcelén</t>
    </r>
  </si>
  <si>
    <r>
      <rPr>
        <sz val="9"/>
        <color rgb="FF3C3C3B"/>
        <rFont val="Arial MT"/>
        <family val="2"/>
      </rPr>
      <t>Cami</t>
    </r>
  </si>
  <si>
    <r>
      <rPr>
        <sz val="9"/>
        <color rgb="FF3C3C3B"/>
        <rFont val="Arial MT"/>
        <family val="2"/>
      </rPr>
      <t>Floreana Perla Solar</t>
    </r>
  </si>
  <si>
    <r>
      <rPr>
        <sz val="9"/>
        <color rgb="FF3C3C3B"/>
        <rFont val="Arial MT"/>
        <family val="2"/>
      </rPr>
      <t>San Cristóbal Solar Eolicsa</t>
    </r>
  </si>
  <si>
    <r>
      <rPr>
        <sz val="9"/>
        <color rgb="FF3C3C3B"/>
        <rFont val="Arial MT"/>
        <family val="2"/>
      </rPr>
      <t>Santa Cruz Solar Aislados</t>
    </r>
  </si>
  <si>
    <r>
      <rPr>
        <sz val="9"/>
        <color rgb="FF3C3C3B"/>
        <rFont val="Arial MT"/>
        <family val="2"/>
      </rPr>
      <t>Isabela Solar Aislados</t>
    </r>
  </si>
  <si>
    <r>
      <rPr>
        <sz val="9"/>
        <color rgb="FF3C3C3B"/>
        <rFont val="Arial MT"/>
        <family val="2"/>
      </rPr>
      <t>Floreana Solar Aislados</t>
    </r>
  </si>
  <si>
    <r>
      <rPr>
        <sz val="9"/>
        <color rgb="FF3C3C3B"/>
        <rFont val="Arial MT"/>
        <family val="2"/>
      </rPr>
      <t>Puerto Nuevo</t>
    </r>
  </si>
  <si>
    <t>Canton</t>
  </si>
  <si>
    <t>Provincia</t>
  </si>
  <si>
    <t>Latitud</t>
  </si>
  <si>
    <t>Longitud</t>
  </si>
  <si>
    <t>El Chaco</t>
  </si>
  <si>
    <t>Napo</t>
  </si>
  <si>
    <t>Sevilla de Oro</t>
  </si>
  <si>
    <t>Azuay</t>
  </si>
  <si>
    <t>El Empalme</t>
  </si>
  <si>
    <t>Guayas</t>
  </si>
  <si>
    <t>Tungurahua</t>
  </si>
  <si>
    <t>Zamora</t>
  </si>
  <si>
    <t>Zamora Chinchipe</t>
  </si>
  <si>
    <t>Guayaquil</t>
  </si>
  <si>
    <t>El Guabo</t>
  </si>
  <si>
    <t>El Oro</t>
  </si>
  <si>
    <t>Esmeraldas</t>
  </si>
  <si>
    <t>Orellana</t>
  </si>
  <si>
    <t>Quevedo</t>
  </si>
  <si>
    <t>Cuyabeno</t>
  </si>
  <si>
    <t>Santa Elena</t>
  </si>
  <si>
    <t>Cotacachi</t>
  </si>
  <si>
    <t>Imbabura</t>
  </si>
  <si>
    <t>Pichincha</t>
  </si>
  <si>
    <t>Santiago</t>
  </si>
  <si>
    <t>Morona Santiago</t>
  </si>
  <si>
    <t>Morona</t>
  </si>
  <si>
    <t>Distrito Metropolitano de Quito</t>
  </si>
  <si>
    <t>Aguarico</t>
  </si>
  <si>
    <t>Shushufindi</t>
  </si>
  <si>
    <t>Buena Fe</t>
  </si>
  <si>
    <t>Manta</t>
  </si>
  <si>
    <t>Tena</t>
  </si>
  <si>
    <t>Pastaza</t>
  </si>
  <si>
    <t>Milagro</t>
  </si>
  <si>
    <t>La Joya de los Sachas</t>
  </si>
  <si>
    <t>Sigchos</t>
  </si>
  <si>
    <t>Cotopaxi</t>
  </si>
  <si>
    <t>Azogues</t>
  </si>
  <si>
    <t>Loja</t>
  </si>
  <si>
    <t>Ventanas</t>
  </si>
  <si>
    <t>Arajuno</t>
  </si>
  <si>
    <t>Riobamba</t>
  </si>
  <si>
    <t>Chimborazo</t>
  </si>
  <si>
    <t>Quijos</t>
  </si>
  <si>
    <t>Ibarra</t>
  </si>
  <si>
    <t>Isabela</t>
  </si>
  <si>
    <t>Latacunga</t>
  </si>
  <si>
    <t>Pimampiro</t>
  </si>
  <si>
    <t>Pedro Moncayo</t>
  </si>
  <si>
    <t>Gualaceo</t>
  </si>
  <si>
    <t>Taisha</t>
  </si>
  <si>
    <t>Pedro Vicente Maldonado</t>
  </si>
  <si>
    <t>Chillanes</t>
  </si>
  <si>
    <t>San Vicente</t>
  </si>
  <si>
    <t>Santa Rosa</t>
  </si>
  <si>
    <t>Pangua</t>
  </si>
  <si>
    <t>Cayambe</t>
  </si>
  <si>
    <t>Cascales</t>
  </si>
  <si>
    <t>Gonzalo Pizarro</t>
  </si>
  <si>
    <t>Loreto</t>
  </si>
  <si>
    <t>Huamboya</t>
  </si>
  <si>
    <t>Pucará</t>
  </si>
  <si>
    <t>Baños de Agua Santa</t>
  </si>
  <si>
    <t>Jaramijó</t>
  </si>
  <si>
    <t>Manabí</t>
  </si>
  <si>
    <t>Los Ríos</t>
  </si>
  <si>
    <t>Coronel Marcelino Maridueña</t>
  </si>
  <si>
    <t>Píllaro</t>
  </si>
  <si>
    <t>Sucumbíos</t>
  </si>
  <si>
    <t>Mejía</t>
  </si>
  <si>
    <t>Cañar</t>
  </si>
  <si>
    <t>La Maná</t>
  </si>
  <si>
    <t>San Cristóbal</t>
  </si>
  <si>
    <t>Galápagos</t>
  </si>
  <si>
    <t>Rumiñahui</t>
  </si>
  <si>
    <t>Pujilí</t>
  </si>
  <si>
    <t>Bolívar</t>
  </si>
  <si>
    <t>Gonzanamá</t>
  </si>
  <si>
    <t>Macará</t>
  </si>
  <si>
    <t>Antonio Ante</t>
  </si>
  <si>
    <t>Ambato</t>
  </si>
  <si>
    <t>Alausí</t>
  </si>
  <si>
    <t>Tulcán</t>
  </si>
  <si>
    <t>Otavalo</t>
  </si>
  <si>
    <t>La Troncal</t>
  </si>
  <si>
    <t>Lago Agrio</t>
  </si>
  <si>
    <t>Cuenca</t>
  </si>
  <si>
    <t>Catamayo</t>
  </si>
  <si>
    <t>Santa Cruz</t>
  </si>
  <si>
    <t>Putumayo</t>
  </si>
  <si>
    <t>Archidona</t>
  </si>
  <si>
    <t>Pedernales</t>
  </si>
  <si>
    <t>Carchi</t>
  </si>
  <si>
    <t>Urbina Jado</t>
  </si>
  <si>
    <t>San Miguel de Urcuquí</t>
  </si>
  <si>
    <t>Espejo</t>
  </si>
  <si>
    <t>Gonzanama</t>
  </si>
  <si>
    <r>
      <rPr>
        <sz val="9"/>
        <color rgb="FF3C3C3B"/>
        <rFont val="Arial MT"/>
        <family val="2"/>
      </rPr>
      <t>Guangopolo</t>
    </r>
    <r>
      <rPr>
        <sz val="9"/>
        <rFont val="Arial MT"/>
      </rPr>
      <t xml:space="preserve"> 0</t>
    </r>
  </si>
  <si>
    <r>
      <rPr>
        <sz val="9"/>
        <color rgb="FF3C3C3B"/>
        <rFont val="Arial MT"/>
        <family val="2"/>
      </rPr>
      <t>Guangopolo</t>
    </r>
    <r>
      <rPr>
        <sz val="9"/>
        <rFont val="Arial MT"/>
      </rPr>
      <t xml:space="preserve"> 1</t>
    </r>
  </si>
  <si>
    <r>
      <rPr>
        <sz val="9"/>
        <color rgb="FF3C3C3B"/>
        <rFont val="Arial MT"/>
        <family val="2"/>
      </rPr>
      <t>Loreto</t>
    </r>
    <r>
      <rPr>
        <sz val="9"/>
        <rFont val="Arial MT"/>
      </rPr>
      <t xml:space="preserve"> 1</t>
    </r>
  </si>
  <si>
    <r>
      <rPr>
        <sz val="9"/>
        <color rgb="FF3C3C3B"/>
        <rFont val="Arial MT"/>
        <family val="2"/>
      </rPr>
      <t>Panel Fotovoltaico</t>
    </r>
    <r>
      <rPr>
        <sz val="9"/>
        <rFont val="Arial MT"/>
      </rPr>
      <t xml:space="preserve"> 1</t>
    </r>
  </si>
  <si>
    <r>
      <rPr>
        <sz val="9"/>
        <color rgb="FF3C3C3B"/>
        <rFont val="Arial MT"/>
        <family val="2"/>
      </rPr>
      <t>Payamino</t>
    </r>
    <r>
      <rPr>
        <sz val="9"/>
        <rFont val="Arial MT"/>
      </rPr>
      <t xml:space="preserve"> 1</t>
    </r>
  </si>
  <si>
    <r>
      <rPr>
        <sz val="9"/>
        <color rgb="FF3C3C3B"/>
        <rFont val="Arial MT"/>
        <family val="2"/>
      </rPr>
      <t>Sacha</t>
    </r>
    <r>
      <rPr>
        <sz val="9"/>
        <rFont val="Arial MT"/>
      </rPr>
      <t xml:space="preserve"> 1</t>
    </r>
  </si>
  <si>
    <r>
      <rPr>
        <sz val="9"/>
        <color rgb="FF3C3C3B"/>
        <rFont val="Arial MT"/>
        <family val="2"/>
      </rPr>
      <t>Delsitanisagua</t>
    </r>
    <r>
      <rPr>
        <sz val="9"/>
        <rFont val="Arial MT"/>
      </rPr>
      <t>_0</t>
    </r>
  </si>
  <si>
    <t>Normandía_0</t>
  </si>
  <si>
    <r>
      <rPr>
        <sz val="9"/>
        <color rgb="FF3C3C3B"/>
        <rFont val="Arial MT"/>
        <family val="2"/>
      </rPr>
      <t>Pusuno</t>
    </r>
    <r>
      <rPr>
        <sz val="9"/>
        <rFont val="Arial MT"/>
      </rPr>
      <t>_0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</si>
</sst>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>
    <font>
      <sz val="10"/>
      <color rgb="FF000000"/>
      <name val="Times New Roman"/>
      <charset val="204"/>
    </font>
    <font>
      <b/>
      <sz val="9"/>
      <name val="Arial"/>
    </font>
    <font>
      <sz val="9"/>
      <name val="Arial MT"/>
    </font>
    <font>
      <sz val="9"/>
      <color rgb="FF3C3C3B"/>
      <name val="Arial MT"/>
      <family val="2"/>
    </font>
    <font>
      <b/>
      <sz val="9"/>
      <name val="Arial"/>
      <family val="2"/>
    </font>
    <font>
      <b/>
      <sz val="10"/>
      <color rgb="FF000000"/>
      <name val="Times New Roman"/>
      <charset val="204"/>
    </font>
    <font>
      <sz val="9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8D8FC6"/>
      </patternFill>
    </fill>
    <fill>
      <patternFill patternType="solid">
        <fgColor rgb="FFEFEFF8"/>
      </patternFill>
    </fill>
  </fills>
  <borders count="3">
    <border>
      <left/>
      <right/>
      <top/>
      <bottom/>
      <diagonal/>
    </border>
    <border>
      <left style="thin">
        <color rgb="FF5C65AC"/>
      </left>
      <right style="thin">
        <color rgb="FF5C65AC"/>
      </right>
      <top style="thin">
        <color rgb="FF5C65AC"/>
      </top>
      <bottom style="thin">
        <color rgb="FF5C65AC"/>
      </bottom>
      <diagonal/>
    </border>
    <border>
      <left style="thin">
        <color rgb="FF5C65AC"/>
      </left>
      <right/>
      <top style="thin">
        <color rgb="FF5C65AC"/>
      </top>
      <bottom style="thin">
        <color rgb="FF5C65AC"/>
      </bottom>
      <diagonal/>
    </border>
  </borders>
  <cellStyleXfs count="1">
    <xf numFmtId="0" fontId="0" fillId="0" borderId="0"/>
  </cellStyleXfs>
  <cellXfs count="44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4" fontId="3" fillId="0" borderId="1" xfId="0" applyNumberFormat="1" applyFont="1" applyFill="1" applyBorder="1" applyAlignment="1">
      <alignment horizontal="center" vertical="top" shrinkToFit="1"/>
    </xf>
    <xf numFmtId="0" fontId="2" fillId="3" borderId="1" xfId="0" applyFont="1" applyFill="1" applyBorder="1" applyAlignment="1">
      <alignment horizontal="center" vertical="top" wrapText="1"/>
    </xf>
    <xf numFmtId="4" fontId="3" fillId="3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Fill="1" applyBorder="1" applyAlignment="1">
      <alignment horizontal="center" vertical="top" shrinkToFit="1"/>
    </xf>
    <xf numFmtId="2" fontId="3" fillId="3" borderId="1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right" vertical="top" wrapText="1" indent="2"/>
    </xf>
    <xf numFmtId="0" fontId="2" fillId="3" borderId="1" xfId="0" applyFont="1" applyFill="1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 indent="3"/>
    </xf>
    <xf numFmtId="0" fontId="2" fillId="0" borderId="1" xfId="0" applyFont="1" applyFill="1" applyBorder="1" applyAlignment="1">
      <alignment horizontal="right" vertical="top" wrapText="1" indent="3"/>
    </xf>
    <xf numFmtId="0" fontId="2" fillId="3" borderId="1" xfId="0" applyFont="1" applyFill="1" applyBorder="1" applyAlignment="1">
      <alignment horizontal="left" vertical="top" wrapText="1" indent="5"/>
    </xf>
    <xf numFmtId="0" fontId="2" fillId="0" borderId="1" xfId="0" applyFont="1" applyFill="1" applyBorder="1" applyAlignment="1">
      <alignment horizontal="left" vertical="top" wrapText="1" indent="4"/>
    </xf>
    <xf numFmtId="0" fontId="2" fillId="0" borderId="1" xfId="0" applyFont="1" applyFill="1" applyBorder="1" applyAlignment="1">
      <alignment horizontal="left" vertical="top" wrapText="1" indent="5"/>
    </xf>
    <xf numFmtId="0" fontId="2" fillId="3" borderId="1" xfId="0" applyFont="1" applyFill="1" applyBorder="1" applyAlignment="1">
      <alignment horizontal="right" vertical="top" wrapText="1" indent="3"/>
    </xf>
    <xf numFmtId="0" fontId="2" fillId="3" borderId="1" xfId="0" applyFont="1" applyFill="1" applyBorder="1" applyAlignment="1">
      <alignment horizontal="right" vertical="top" wrapText="1" indent="2"/>
    </xf>
    <xf numFmtId="0" fontId="2" fillId="3" borderId="1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left" vertical="top" wrapText="1" indent="1"/>
    </xf>
    <xf numFmtId="0" fontId="2" fillId="3" borderId="1" xfId="0" applyFont="1" applyFill="1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right" vertical="top" wrapText="1" indent="4"/>
    </xf>
    <xf numFmtId="0" fontId="2" fillId="0" borderId="1" xfId="0" applyFont="1" applyFill="1" applyBorder="1" applyAlignment="1">
      <alignment horizontal="right" vertical="top" wrapText="1" indent="4"/>
    </xf>
    <xf numFmtId="0" fontId="2" fillId="3" borderId="2" xfId="0" applyFont="1" applyFill="1" applyBorder="1" applyAlignment="1">
      <alignment horizontal="center" vertical="top" wrapText="1"/>
    </xf>
    <xf numFmtId="2" fontId="3" fillId="3" borderId="2" xfId="0" applyNumberFormat="1" applyFont="1" applyFill="1" applyBorder="1" applyAlignment="1">
      <alignment horizontal="center" vertical="top" shrinkToFit="1"/>
    </xf>
    <xf numFmtId="164" fontId="3" fillId="0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center" vertical="top" wrapText="1"/>
    </xf>
    <xf numFmtId="0" fontId="0" fillId="0" borderId="0" xfId="0" applyAlignment="1"/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right" vertical="center"/>
    </xf>
    <xf numFmtId="0" fontId="2" fillId="3" borderId="1" xfId="0" applyFont="1" applyFill="1" applyBorder="1" applyAlignment="1">
      <alignment vertical="top" wrapText="1"/>
    </xf>
    <xf numFmtId="2" fontId="3" fillId="3" borderId="1" xfId="0" applyNumberFormat="1" applyFont="1" applyFill="1" applyBorder="1" applyAlignment="1">
      <alignment vertical="top" shrinkToFit="1"/>
    </xf>
    <xf numFmtId="0" fontId="3" fillId="0" borderId="1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top" wrapText="1"/>
    </xf>
    <xf numFmtId="2" fontId="3" fillId="0" borderId="2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left" vertical="top" wrapText="1" indent="4"/>
    </xf>
    <xf numFmtId="2" fontId="3" fillId="0" borderId="1" xfId="0" applyNumberFormat="1" applyFont="1" applyFill="1" applyBorder="1" applyAlignment="1">
      <alignment vertical="top" shrinkToFit="1"/>
    </xf>
    <xf numFmtId="164" fontId="3" fillId="0" borderId="1" xfId="0" applyNumberFormat="1" applyFont="1" applyFill="1" applyBorder="1" applyAlignment="1">
      <alignment vertical="top" shrinkToFit="1"/>
    </xf>
    <xf numFmtId="0" fontId="6" fillId="0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512CD3-115B-4A91-BA25-CFB9422DC62B}" name="Tabelle2" displayName="Tabelle2" ref="A1:K1048576" totalsRowShown="0">
  <autoFilter ref="A1:K1048576" xr:uid="{20512CD3-115B-4A91-BA25-CFB9422DC62B}"/>
  <sortState xmlns:xlrd2="http://schemas.microsoft.com/office/spreadsheetml/2017/richdata2" ref="A2:K318">
    <sortCondition ref="B1:B1048576"/>
  </sortState>
  <tableColumns count="11">
    <tableColumn id="1" xr3:uid="{1C8E39CF-A8BF-4538-AE5F-21D003158CEF}" name="Empresa"/>
    <tableColumn id="2" xr3:uid="{FC0CD5F8-A216-4627-99CB-D9BB2131D9FD}" name="Central"/>
    <tableColumn id="3" xr3:uid="{65C52EE2-B81E-4D0C-AC6A-7B095919ACC2}" name="Provincia"/>
    <tableColumn id="4" xr3:uid="{21DAEEDB-E87E-41BA-B1FE-5493BCD1551D}" name="Cantón"/>
    <tableColumn id="5" xr3:uid="{22CB9D30-CED2-4E2E-80B8-270CF5E58343}" name="Sistema"/>
    <tableColumn id="6" xr3:uid="{6B5732F8-D92B-420A-9ACB-2B0B6E2230EB}" name="Tipo de Central"/>
    <tableColumn id="7" xr3:uid="{B6B80611-90F4-41A6-B4A4-7C4D09065AB1}" name="Subtipo de Central"/>
    <tableColumn id="8" xr3:uid="{27A5BEE3-48E7-45D5-BB55-9C98723058B7}" name="Potencia Nominal (MW)"/>
    <tableColumn id="9" xr3:uid="{83B1428F-DDBD-42F2-9D44-318029B95ABB}" name="Potencia Efectiva (MW)"/>
    <tableColumn id="10" xr3:uid="{6609F166-F9B2-4C25-A37A-1DC60E3C65E6}" name="Latitud"/>
    <tableColumn id="11" xr3:uid="{1D3EB674-825A-4E8A-AC1B-8677108AC0C3}" name="Longitud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8"/>
  <sheetViews>
    <sheetView tabSelected="1" topLeftCell="A196" workbookViewId="0">
      <selection activeCell="D201" sqref="D201"/>
    </sheetView>
  </sheetViews>
  <sheetFormatPr baseColWidth="10" defaultColWidth="8.796875" defaultRowHeight="13"/>
  <cols>
    <col min="1" max="1" width="23.796875" customWidth="1"/>
    <col min="2" max="2" width="18.8984375" customWidth="1"/>
    <col min="3" max="3" width="16" customWidth="1"/>
    <col min="4" max="4" width="26.8984375" customWidth="1"/>
    <col min="5" max="5" width="15.796875" customWidth="1"/>
    <col min="6" max="6" width="17.59765625" customWidth="1"/>
    <col min="7" max="7" width="20.8984375" customWidth="1"/>
    <col min="8" max="8" width="22.69921875" customWidth="1"/>
    <col min="9" max="9" width="22.796875" customWidth="1"/>
    <col min="10" max="10" width="8.8984375" customWidth="1"/>
    <col min="11" max="11" width="10.3984375" customWidth="1"/>
  </cols>
  <sheetData>
    <row r="1" spans="1:11" ht="2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t="s">
        <v>461</v>
      </c>
      <c r="K1" t="s">
        <v>462</v>
      </c>
    </row>
    <row r="2" spans="1:11" ht="14.5" customHeight="1">
      <c r="A2" s="15" t="s">
        <v>112</v>
      </c>
      <c r="B2" s="4" t="s">
        <v>113</v>
      </c>
      <c r="C2" s="4" t="s">
        <v>89</v>
      </c>
      <c r="D2" s="4" t="s">
        <v>95</v>
      </c>
      <c r="E2" s="4" t="s">
        <v>13</v>
      </c>
      <c r="F2" s="4" t="s">
        <v>14</v>
      </c>
      <c r="G2" s="4" t="s">
        <v>15</v>
      </c>
      <c r="H2" s="8">
        <v>38.450000000000003</v>
      </c>
      <c r="I2" s="8">
        <v>37.99</v>
      </c>
      <c r="J2">
        <f>INDEX(Cantones!C:C,MATCH(Tabelle2[[#This Row],[Cantón]],Cantones!A:A,0))</f>
        <v>-2.4303097</v>
      </c>
      <c r="K2">
        <f>INDEX(Cantones!D:D,MATCH(Tabelle2[[#This Row],[Cantón]],Cantones!A:A,0))</f>
        <v>-77.880191999999994</v>
      </c>
    </row>
    <row r="3" spans="1:11" ht="14.5" customHeight="1">
      <c r="A3" s="4" t="s">
        <v>28</v>
      </c>
      <c r="B3" s="4" t="s">
        <v>36</v>
      </c>
      <c r="C3" s="4" t="s">
        <v>30</v>
      </c>
      <c r="D3" s="33" t="s">
        <v>522</v>
      </c>
      <c r="E3" s="4" t="s">
        <v>13</v>
      </c>
      <c r="F3" s="4" t="s">
        <v>14</v>
      </c>
      <c r="G3" s="4" t="s">
        <v>20</v>
      </c>
      <c r="H3" s="8">
        <v>160</v>
      </c>
      <c r="I3" s="8">
        <v>156</v>
      </c>
      <c r="J3">
        <f>INDEX(Cantones!C:C,MATCH(Tabelle2[[#This Row],[Cantón]],Cantones!A:A,0))</f>
        <v>-1.3319156999999999</v>
      </c>
      <c r="K3">
        <f>INDEX(Cantones!D:D,MATCH(Tabelle2[[#This Row],[Cantón]],Cantones!A:A,0))</f>
        <v>-78.262528500000002</v>
      </c>
    </row>
    <row r="4" spans="1:11" ht="14.5" customHeight="1">
      <c r="A4" s="6" t="s">
        <v>63</v>
      </c>
      <c r="B4" s="6" t="s">
        <v>285</v>
      </c>
      <c r="C4" s="6" t="s">
        <v>65</v>
      </c>
      <c r="D4" s="6" t="s">
        <v>122</v>
      </c>
      <c r="E4" s="6" t="s">
        <v>66</v>
      </c>
      <c r="F4" s="6" t="s">
        <v>40</v>
      </c>
      <c r="G4" s="6" t="s">
        <v>51</v>
      </c>
      <c r="H4" s="9">
        <v>5.8</v>
      </c>
      <c r="I4" s="9">
        <v>2.02</v>
      </c>
      <c r="J4">
        <f>INDEX(Cantones!C:C,MATCH(Tabelle2[[#This Row],[Cantón]],Cantones!A:A,0))</f>
        <v>-0.2611097</v>
      </c>
      <c r="K4">
        <f>INDEX(Cantones!D:D,MATCH(Tabelle2[[#This Row],[Cantón]],Cantones!A:A,0))</f>
        <v>-76.9080096</v>
      </c>
    </row>
    <row r="5" spans="1:11" ht="14.5" customHeight="1">
      <c r="A5" s="15" t="s">
        <v>63</v>
      </c>
      <c r="B5" s="4" t="s">
        <v>100</v>
      </c>
      <c r="C5" s="4" t="s">
        <v>78</v>
      </c>
      <c r="D5" s="4" t="s">
        <v>102</v>
      </c>
      <c r="E5" s="4" t="s">
        <v>66</v>
      </c>
      <c r="F5" s="4" t="s">
        <v>40</v>
      </c>
      <c r="G5" s="4" t="s">
        <v>51</v>
      </c>
      <c r="H5" s="8">
        <v>15.17</v>
      </c>
      <c r="I5" s="8">
        <v>11.7</v>
      </c>
      <c r="J5">
        <f>INDEX(Cantones!C:C,MATCH(Tabelle2[[#This Row],[Cantón]],Cantones!A:A,0))</f>
        <v>-0.28860940000000002</v>
      </c>
      <c r="K5">
        <f>INDEX(Cantones!D:D,MATCH(Tabelle2[[#This Row],[Cantón]],Cantones!A:A,0))</f>
        <v>-76.590663199999995</v>
      </c>
    </row>
    <row r="6" spans="1:11" ht="14.5" customHeight="1">
      <c r="A6" s="15" t="s">
        <v>181</v>
      </c>
      <c r="B6" s="4" t="s">
        <v>182</v>
      </c>
      <c r="C6" s="4" t="s">
        <v>183</v>
      </c>
      <c r="D6" s="4" t="s">
        <v>184</v>
      </c>
      <c r="E6" s="4" t="s">
        <v>13</v>
      </c>
      <c r="F6" s="4" t="s">
        <v>14</v>
      </c>
      <c r="G6" s="4" t="s">
        <v>15</v>
      </c>
      <c r="H6" s="8">
        <v>10.4</v>
      </c>
      <c r="I6" s="8">
        <v>10</v>
      </c>
      <c r="J6">
        <f>INDEX(Cantones!C:C,MATCH(Tabelle2[[#This Row],[Cantón]],Cantones!A:A,0))</f>
        <v>-1.6731483</v>
      </c>
      <c r="K6">
        <f>INDEX(Cantones!D:D,MATCH(Tabelle2[[#This Row],[Cantón]],Cantones!A:A,0))</f>
        <v>-78.648646499999998</v>
      </c>
    </row>
    <row r="7" spans="1:11" ht="14.5" customHeight="1">
      <c r="A7" s="13" t="s">
        <v>215</v>
      </c>
      <c r="B7" s="4" t="s">
        <v>216</v>
      </c>
      <c r="C7" s="4" t="s">
        <v>129</v>
      </c>
      <c r="D7" s="4" t="s">
        <v>152</v>
      </c>
      <c r="E7" s="4" t="s">
        <v>13</v>
      </c>
      <c r="F7" s="4" t="s">
        <v>14</v>
      </c>
      <c r="G7" s="4" t="s">
        <v>15</v>
      </c>
      <c r="H7" s="8">
        <v>6.23</v>
      </c>
      <c r="I7" s="8">
        <v>6.23</v>
      </c>
      <c r="J7">
        <f>INDEX(Cantones!C:C,MATCH(Tabelle2[[#This Row],[Cantón]],Cantones!A:A,0))</f>
        <v>-2.6317292000000001</v>
      </c>
      <c r="K7">
        <f>INDEX(Cantones!D:D,MATCH(Tabelle2[[#This Row],[Cantón]],Cantones!A:A,0))</f>
        <v>-78.700893399999998</v>
      </c>
    </row>
    <row r="8" spans="1:11" ht="14.5" customHeight="1">
      <c r="A8" s="4" t="s">
        <v>360</v>
      </c>
      <c r="B8" s="4" t="s">
        <v>360</v>
      </c>
      <c r="C8" s="4" t="s">
        <v>26</v>
      </c>
      <c r="D8" s="4" t="s">
        <v>39</v>
      </c>
      <c r="E8" s="4" t="s">
        <v>13</v>
      </c>
      <c r="F8" s="4" t="s">
        <v>289</v>
      </c>
      <c r="G8" s="4" t="s">
        <v>289</v>
      </c>
      <c r="H8" s="8">
        <v>0.99</v>
      </c>
      <c r="I8" s="8">
        <v>0.99</v>
      </c>
      <c r="J8">
        <f>INDEX(Cantones!C:C,MATCH(Tabelle2[[#This Row],[Cantón]],Cantones!A:A,0))</f>
        <v>-2.1899066</v>
      </c>
      <c r="K8">
        <f>INDEX(Cantones!D:D,MATCH(Tabelle2[[#This Row],[Cantón]],Cantones!A:A,0))</f>
        <v>-79.887726000000001</v>
      </c>
    </row>
    <row r="9" spans="1:11" ht="14.5" customHeight="1">
      <c r="A9" s="6" t="s">
        <v>60</v>
      </c>
      <c r="B9" s="6" t="s">
        <v>85</v>
      </c>
      <c r="C9" s="6" t="s">
        <v>26</v>
      </c>
      <c r="D9" s="6" t="s">
        <v>39</v>
      </c>
      <c r="E9" s="6" t="s">
        <v>13</v>
      </c>
      <c r="F9" s="6" t="s">
        <v>40</v>
      </c>
      <c r="G9" s="6" t="s">
        <v>47</v>
      </c>
      <c r="H9" s="9">
        <v>94.8</v>
      </c>
      <c r="I9" s="9">
        <v>64</v>
      </c>
      <c r="J9">
        <f>INDEX(Cantones!C:C,MATCH(Tabelle2[[#This Row],[Cantón]],Cantones!A:A,0))</f>
        <v>-2.1899066</v>
      </c>
      <c r="K9">
        <f>INDEX(Cantones!D:D,MATCH(Tabelle2[[#This Row],[Cantón]],Cantones!A:A,0))</f>
        <v>-79.887726000000001</v>
      </c>
    </row>
    <row r="10" spans="1:11" ht="14.5" customHeight="1">
      <c r="A10" s="15" t="s">
        <v>219</v>
      </c>
      <c r="B10" s="4" t="s">
        <v>220</v>
      </c>
      <c r="C10" s="4" t="s">
        <v>78</v>
      </c>
      <c r="D10" s="4" t="s">
        <v>134</v>
      </c>
      <c r="E10" s="4" t="s">
        <v>66</v>
      </c>
      <c r="F10" s="4" t="s">
        <v>40</v>
      </c>
      <c r="G10" s="4" t="s">
        <v>51</v>
      </c>
      <c r="H10" s="8">
        <v>6.66</v>
      </c>
      <c r="I10" s="8">
        <v>6.14</v>
      </c>
      <c r="J10">
        <f>INDEX(Cantones!C:C,MATCH(Tabelle2[[#This Row],[Cantón]],Cantones!A:A,0))</f>
        <v>8.5400000000000004E-2</v>
      </c>
      <c r="K10">
        <f>INDEX(Cantones!D:D,MATCH(Tabelle2[[#This Row],[Cantón]],Cantones!A:A,0))</f>
        <v>-76.891499999999994</v>
      </c>
    </row>
    <row r="11" spans="1:11" ht="14.5" customHeight="1">
      <c r="A11" s="14" t="s">
        <v>202</v>
      </c>
      <c r="B11" s="6" t="s">
        <v>203</v>
      </c>
      <c r="C11" s="6" t="s">
        <v>83</v>
      </c>
      <c r="D11" s="6" t="s">
        <v>204</v>
      </c>
      <c r="E11" s="6" t="s">
        <v>13</v>
      </c>
      <c r="F11" s="6" t="s">
        <v>14</v>
      </c>
      <c r="G11" s="6" t="s">
        <v>15</v>
      </c>
      <c r="H11" s="9">
        <v>8</v>
      </c>
      <c r="I11" s="9">
        <v>7.85</v>
      </c>
      <c r="J11">
        <f>INDEX(Cantones!C:C,MATCH(Tabelle2[[#This Row],[Cantón]],Cantones!A:A,0))</f>
        <v>0.3327</v>
      </c>
      <c r="K11">
        <f>INDEX(Cantones!D:D,MATCH(Tabelle2[[#This Row],[Cantón]],Cantones!A:A,0))</f>
        <v>-78.216700000000003</v>
      </c>
    </row>
    <row r="12" spans="1:11" ht="14.5" customHeight="1">
      <c r="A12" s="23" t="s">
        <v>63</v>
      </c>
      <c r="B12" s="4" t="s">
        <v>364</v>
      </c>
      <c r="C12" s="4" t="s">
        <v>65</v>
      </c>
      <c r="D12" s="4" t="s">
        <v>65</v>
      </c>
      <c r="E12" s="4" t="s">
        <v>66</v>
      </c>
      <c r="F12" s="4" t="s">
        <v>40</v>
      </c>
      <c r="G12" s="4" t="s">
        <v>51</v>
      </c>
      <c r="H12" s="8">
        <v>2.35</v>
      </c>
      <c r="I12" s="8">
        <v>0.98</v>
      </c>
      <c r="J12">
        <f>INDEX(Cantones!C:C,MATCH(Tabelle2[[#This Row],[Cantón]],Cantones!A:A,0))</f>
        <v>-0.78617999999999999</v>
      </c>
      <c r="K12">
        <f>INDEX(Cantones!D:D,MATCH(Tabelle2[[#This Row],[Cantón]],Cantones!A:A,0))</f>
        <v>-76.480318400000002</v>
      </c>
    </row>
    <row r="13" spans="1:11" ht="14.5" customHeight="1">
      <c r="A13" s="11" t="s">
        <v>232</v>
      </c>
      <c r="B13" s="6" t="s">
        <v>430</v>
      </c>
      <c r="C13" s="6" t="s">
        <v>149</v>
      </c>
      <c r="D13" s="27" t="s">
        <v>535</v>
      </c>
      <c r="E13" s="6" t="s">
        <v>66</v>
      </c>
      <c r="F13" s="6" t="s">
        <v>14</v>
      </c>
      <c r="G13" s="6" t="s">
        <v>15</v>
      </c>
      <c r="H13" s="9">
        <v>0.3</v>
      </c>
      <c r="I13" s="9">
        <v>0.26</v>
      </c>
      <c r="J13">
        <f>INDEX(Cantones!C:C,MATCH(Tabelle2[[#This Row],[Cantón]],Cantones!A:A,0))</f>
        <v>-1.0077046999999999</v>
      </c>
      <c r="K13">
        <f>INDEX(Cantones!D:D,MATCH(Tabelle2[[#This Row],[Cantón]],Cantones!A:A,0))</f>
        <v>-78.855920499999996</v>
      </c>
    </row>
    <row r="14" spans="1:11" ht="14.5" customHeight="1">
      <c r="A14" s="4" t="s">
        <v>63</v>
      </c>
      <c r="B14" s="4" t="s">
        <v>416</v>
      </c>
      <c r="C14" s="4" t="s">
        <v>65</v>
      </c>
      <c r="D14" s="4" t="s">
        <v>122</v>
      </c>
      <c r="E14" s="4" t="s">
        <v>66</v>
      </c>
      <c r="F14" s="4" t="s">
        <v>40</v>
      </c>
      <c r="G14" s="4" t="s">
        <v>51</v>
      </c>
      <c r="H14" s="8">
        <v>0.4</v>
      </c>
      <c r="I14" s="8">
        <v>0.35</v>
      </c>
      <c r="J14">
        <f>INDEX(Cantones!C:C,MATCH(Tabelle2[[#This Row],[Cantón]],Cantones!A:A,0))</f>
        <v>-0.2611097</v>
      </c>
      <c r="K14">
        <f>INDEX(Cantones!D:D,MATCH(Tabelle2[[#This Row],[Cantón]],Cantones!A:A,0))</f>
        <v>-76.9080096</v>
      </c>
    </row>
    <row r="15" spans="1:11" ht="14.5" customHeight="1">
      <c r="A15" s="6" t="s">
        <v>60</v>
      </c>
      <c r="B15" s="6" t="s">
        <v>61</v>
      </c>
      <c r="C15" s="6" t="s">
        <v>26</v>
      </c>
      <c r="D15" s="6" t="s">
        <v>39</v>
      </c>
      <c r="E15" s="6" t="s">
        <v>13</v>
      </c>
      <c r="F15" s="6" t="s">
        <v>40</v>
      </c>
      <c r="G15" s="6" t="s">
        <v>47</v>
      </c>
      <c r="H15" s="9">
        <v>113.27</v>
      </c>
      <c r="I15" s="9">
        <v>97</v>
      </c>
      <c r="J15">
        <f>INDEX(Cantones!C:C,MATCH(Tabelle2[[#This Row],[Cantón]],Cantones!A:A,0))</f>
        <v>-2.1899066</v>
      </c>
      <c r="K15">
        <f>INDEX(Cantones!D:D,MATCH(Tabelle2[[#This Row],[Cantón]],Cantones!A:A,0))</f>
        <v>-79.887726000000001</v>
      </c>
    </row>
    <row r="16" spans="1:11" ht="14.5" customHeight="1">
      <c r="A16" s="15" t="s">
        <v>60</v>
      </c>
      <c r="B16" s="4" t="s">
        <v>143</v>
      </c>
      <c r="C16" s="4" t="s">
        <v>26</v>
      </c>
      <c r="D16" s="4" t="s">
        <v>39</v>
      </c>
      <c r="E16" s="4" t="s">
        <v>13</v>
      </c>
      <c r="F16" s="4" t="s">
        <v>40</v>
      </c>
      <c r="G16" s="4" t="s">
        <v>41</v>
      </c>
      <c r="H16" s="8">
        <v>34.5</v>
      </c>
      <c r="I16" s="8">
        <v>20</v>
      </c>
      <c r="J16">
        <f>INDEX(Cantones!C:C,MATCH(Tabelle2[[#This Row],[Cantón]],Cantones!A:A,0))</f>
        <v>-2.1899066</v>
      </c>
      <c r="K16">
        <f>INDEX(Cantones!D:D,MATCH(Tabelle2[[#This Row],[Cantón]],Cantones!A:A,0))</f>
        <v>-79.887726000000001</v>
      </c>
    </row>
    <row r="17" spans="1:11" ht="14.5" customHeight="1">
      <c r="A17" s="23" t="s">
        <v>63</v>
      </c>
      <c r="B17" s="4" t="s">
        <v>374</v>
      </c>
      <c r="C17" s="4" t="s">
        <v>78</v>
      </c>
      <c r="D17" s="4" t="s">
        <v>102</v>
      </c>
      <c r="E17" s="4" t="s">
        <v>66</v>
      </c>
      <c r="F17" s="4" t="s">
        <v>40</v>
      </c>
      <c r="G17" s="4" t="s">
        <v>51</v>
      </c>
      <c r="H17" s="8">
        <v>1.05</v>
      </c>
      <c r="I17" s="8">
        <v>0.82</v>
      </c>
      <c r="J17">
        <f>INDEX(Cantones!C:C,MATCH(Tabelle2[[#This Row],[Cantón]],Cantones!A:A,0))</f>
        <v>-0.28860940000000002</v>
      </c>
      <c r="K17">
        <f>INDEX(Cantones!D:D,MATCH(Tabelle2[[#This Row],[Cantón]],Cantones!A:A,0))</f>
        <v>-76.590663199999995</v>
      </c>
    </row>
    <row r="18" spans="1:11" ht="14.5" customHeight="1">
      <c r="A18" s="4" t="s">
        <v>63</v>
      </c>
      <c r="B18" s="4" t="s">
        <v>198</v>
      </c>
      <c r="C18" s="4" t="s">
        <v>78</v>
      </c>
      <c r="D18" s="4" t="s">
        <v>102</v>
      </c>
      <c r="E18" s="4" t="s">
        <v>66</v>
      </c>
      <c r="F18" s="4" t="s">
        <v>40</v>
      </c>
      <c r="G18" s="4" t="s">
        <v>51</v>
      </c>
      <c r="H18" s="8">
        <v>10.15</v>
      </c>
      <c r="I18" s="8">
        <v>8.14</v>
      </c>
      <c r="J18">
        <f>INDEX(Cantones!C:C,MATCH(Tabelle2[[#This Row],[Cantón]],Cantones!A:A,0))</f>
        <v>-0.28860940000000002</v>
      </c>
      <c r="K18">
        <f>INDEX(Cantones!D:D,MATCH(Tabelle2[[#This Row],[Cantón]],Cantones!A:A,0))</f>
        <v>-76.590663199999995</v>
      </c>
    </row>
    <row r="19" spans="1:11" ht="14.5" customHeight="1">
      <c r="A19" s="6" t="s">
        <v>392</v>
      </c>
      <c r="B19" s="6" t="s">
        <v>419</v>
      </c>
      <c r="C19" s="6" t="s">
        <v>83</v>
      </c>
      <c r="D19" s="6" t="s">
        <v>204</v>
      </c>
      <c r="E19" s="6" t="s">
        <v>13</v>
      </c>
      <c r="F19" s="6" t="s">
        <v>14</v>
      </c>
      <c r="G19" s="6" t="s">
        <v>15</v>
      </c>
      <c r="H19" s="9">
        <v>0.4</v>
      </c>
      <c r="I19" s="9">
        <v>0.32</v>
      </c>
      <c r="J19">
        <f>INDEX(Cantones!C:C,MATCH(Tabelle2[[#This Row],[Cantón]],Cantones!A:A,0))</f>
        <v>0.3327</v>
      </c>
      <c r="K19">
        <f>INDEX(Cantones!D:D,MATCH(Tabelle2[[#This Row],[Cantón]],Cantones!A:A,0))</f>
        <v>-78.216700000000003</v>
      </c>
    </row>
    <row r="20" spans="1:11" ht="14.5" customHeight="1">
      <c r="A20" s="15" t="s">
        <v>63</v>
      </c>
      <c r="B20" s="4" t="s">
        <v>172</v>
      </c>
      <c r="C20" s="4" t="s">
        <v>65</v>
      </c>
      <c r="D20" s="4" t="s">
        <v>65</v>
      </c>
      <c r="E20" s="4" t="s">
        <v>66</v>
      </c>
      <c r="F20" s="4" t="s">
        <v>40</v>
      </c>
      <c r="G20" s="4" t="s">
        <v>51</v>
      </c>
      <c r="H20" s="8">
        <v>15.23</v>
      </c>
      <c r="I20" s="8">
        <v>11.39</v>
      </c>
      <c r="J20">
        <f>INDEX(Cantones!C:C,MATCH(Tabelle2[[#This Row],[Cantón]],Cantones!A:A,0))</f>
        <v>-0.78617999999999999</v>
      </c>
      <c r="K20">
        <f>INDEX(Cantones!D:D,MATCH(Tabelle2[[#This Row],[Cantón]],Cantones!A:A,0))</f>
        <v>-76.480318400000002</v>
      </c>
    </row>
    <row r="21" spans="1:11" ht="14.5" customHeight="1">
      <c r="A21" s="11" t="s">
        <v>63</v>
      </c>
      <c r="B21" s="6" t="s">
        <v>240</v>
      </c>
      <c r="C21" s="6" t="s">
        <v>65</v>
      </c>
      <c r="D21" s="6" t="s">
        <v>65</v>
      </c>
      <c r="E21" s="6" t="s">
        <v>66</v>
      </c>
      <c r="F21" s="6" t="s">
        <v>40</v>
      </c>
      <c r="G21" s="6" t="s">
        <v>51</v>
      </c>
      <c r="H21" s="9">
        <v>8.0500000000000007</v>
      </c>
      <c r="I21" s="9">
        <v>4.2300000000000004</v>
      </c>
      <c r="J21">
        <f>INDEX(Cantones!C:C,MATCH(Tabelle2[[#This Row],[Cantón]],Cantones!A:A,0))</f>
        <v>-0.78617999999999999</v>
      </c>
      <c r="K21">
        <f>INDEX(Cantones!D:D,MATCH(Tabelle2[[#This Row],[Cantón]],Cantones!A:A,0))</f>
        <v>-76.480318400000002</v>
      </c>
    </row>
    <row r="22" spans="1:11" ht="14.5" customHeight="1">
      <c r="A22" s="4" t="s">
        <v>63</v>
      </c>
      <c r="B22" s="4" t="s">
        <v>284</v>
      </c>
      <c r="C22" s="4" t="s">
        <v>65</v>
      </c>
      <c r="D22" s="4" t="s">
        <v>65</v>
      </c>
      <c r="E22" s="4" t="s">
        <v>66</v>
      </c>
      <c r="F22" s="4" t="s">
        <v>40</v>
      </c>
      <c r="G22" s="4" t="s">
        <v>51</v>
      </c>
      <c r="H22" s="8">
        <v>2.66</v>
      </c>
      <c r="I22" s="8">
        <v>2.04</v>
      </c>
      <c r="J22">
        <f>INDEX(Cantones!C:C,MATCH(Tabelle2[[#This Row],[Cantón]],Cantones!A:A,0))</f>
        <v>-0.78617999999999999</v>
      </c>
      <c r="K22">
        <f>INDEX(Cantones!D:D,MATCH(Tabelle2[[#This Row],[Cantón]],Cantones!A:A,0))</f>
        <v>-76.480318400000002</v>
      </c>
    </row>
    <row r="23" spans="1:11" ht="14.5" customHeight="1">
      <c r="A23" s="11" t="s">
        <v>63</v>
      </c>
      <c r="B23" s="6" t="s">
        <v>146</v>
      </c>
      <c r="C23" s="6" t="s">
        <v>65</v>
      </c>
      <c r="D23" s="6" t="s">
        <v>65</v>
      </c>
      <c r="E23" s="6" t="s">
        <v>66</v>
      </c>
      <c r="F23" s="6" t="s">
        <v>40</v>
      </c>
      <c r="G23" s="6" t="s">
        <v>51</v>
      </c>
      <c r="H23" s="9">
        <v>22.72</v>
      </c>
      <c r="I23" s="9">
        <v>18.98</v>
      </c>
      <c r="J23">
        <f>INDEX(Cantones!C:C,MATCH(Tabelle2[[#This Row],[Cantón]],Cantones!A:A,0))</f>
        <v>-0.78617999999999999</v>
      </c>
      <c r="K23">
        <f>INDEX(Cantones!D:D,MATCH(Tabelle2[[#This Row],[Cantón]],Cantones!A:A,0))</f>
        <v>-76.480318400000002</v>
      </c>
    </row>
    <row r="24" spans="1:11" ht="14.5" customHeight="1">
      <c r="A24" s="12" t="s">
        <v>24</v>
      </c>
      <c r="B24" s="6" t="s">
        <v>103</v>
      </c>
      <c r="C24" s="6" t="s">
        <v>70</v>
      </c>
      <c r="D24" s="6" t="s">
        <v>104</v>
      </c>
      <c r="E24" s="6" t="s">
        <v>13</v>
      </c>
      <c r="F24" s="6" t="s">
        <v>14</v>
      </c>
      <c r="G24" s="6" t="s">
        <v>20</v>
      </c>
      <c r="H24" s="9">
        <v>42.2</v>
      </c>
      <c r="I24" s="9">
        <v>42</v>
      </c>
      <c r="J24">
        <f>INDEX(Cantones!C:C,MATCH(Tabelle2[[#This Row],[Cantón]],Cantones!A:A,0))</f>
        <v>-0.74829259999999997</v>
      </c>
      <c r="K24">
        <f>INDEX(Cantones!D:D,MATCH(Tabelle2[[#This Row],[Cantón]],Cantones!A:A,0))</f>
        <v>-79.529712200000006</v>
      </c>
    </row>
    <row r="25" spans="1:11" ht="14.5" customHeight="1">
      <c r="A25" s="15" t="s">
        <v>275</v>
      </c>
      <c r="B25" s="4" t="s">
        <v>282</v>
      </c>
      <c r="C25" s="4" t="s">
        <v>170</v>
      </c>
      <c r="D25" s="4" t="s">
        <v>169</v>
      </c>
      <c r="E25" s="4" t="s">
        <v>66</v>
      </c>
      <c r="F25" s="4" t="s">
        <v>157</v>
      </c>
      <c r="G25" s="4" t="s">
        <v>157</v>
      </c>
      <c r="H25" s="8">
        <v>2.25</v>
      </c>
      <c r="I25" s="8">
        <v>2.25</v>
      </c>
      <c r="J25">
        <f>INDEX(Cantones!C:C,MATCH(Tabelle2[[#This Row],[Cantón]],Cantones!A:A,0))</f>
        <v>-0.6663</v>
      </c>
      <c r="K25">
        <f>INDEX(Cantones!D:D,MATCH(Tabelle2[[#This Row],[Cantón]],Cantones!A:A,0))</f>
        <v>-90.333299999999994</v>
      </c>
    </row>
    <row r="26" spans="1:11" ht="14.5" customHeight="1">
      <c r="A26" s="11" t="s">
        <v>275</v>
      </c>
      <c r="B26" s="6" t="s">
        <v>448</v>
      </c>
      <c r="C26" s="6" t="s">
        <v>170</v>
      </c>
      <c r="D26" s="6" t="s">
        <v>169</v>
      </c>
      <c r="E26" s="6" t="s">
        <v>66</v>
      </c>
      <c r="F26" s="6" t="s">
        <v>289</v>
      </c>
      <c r="G26" s="6" t="s">
        <v>289</v>
      </c>
      <c r="H26" s="9">
        <v>7.0000000000000007E-2</v>
      </c>
      <c r="I26" s="9">
        <v>7.0000000000000007E-2</v>
      </c>
      <c r="J26">
        <f>INDEX(Cantones!C:C,MATCH(Tabelle2[[#This Row],[Cantón]],Cantones!A:A,0))</f>
        <v>-0.6663</v>
      </c>
      <c r="K26">
        <f>INDEX(Cantones!D:D,MATCH(Tabelle2[[#This Row],[Cantón]],Cantones!A:A,0))</f>
        <v>-90.333299999999994</v>
      </c>
    </row>
    <row r="27" spans="1:11" ht="14.5" customHeight="1">
      <c r="A27" s="6" t="s">
        <v>309</v>
      </c>
      <c r="B27" s="6" t="s">
        <v>442</v>
      </c>
      <c r="C27" s="6" t="s">
        <v>78</v>
      </c>
      <c r="D27" s="6" t="s">
        <v>311</v>
      </c>
      <c r="E27" s="6" t="s">
        <v>66</v>
      </c>
      <c r="F27" s="6" t="s">
        <v>40</v>
      </c>
      <c r="G27" s="6" t="s">
        <v>51</v>
      </c>
      <c r="H27" s="9">
        <v>0.19</v>
      </c>
      <c r="I27" s="9">
        <v>0.15</v>
      </c>
      <c r="J27">
        <f>INDEX(Cantones!C:C,MATCH(Tabelle2[[#This Row],[Cantón]],Cantones!A:A,0))</f>
        <v>8.0699999999999994E-2</v>
      </c>
      <c r="K27">
        <f>INDEX(Cantones!D:D,MATCH(Tabelle2[[#This Row],[Cantón]],Cantones!A:A,0))</f>
        <v>-77.564899999999994</v>
      </c>
    </row>
    <row r="28" spans="1:11" ht="14.5" customHeight="1">
      <c r="A28" s="4" t="s">
        <v>309</v>
      </c>
      <c r="B28" s="4" t="s">
        <v>332</v>
      </c>
      <c r="C28" s="4" t="s">
        <v>78</v>
      </c>
      <c r="D28" s="4" t="s">
        <v>311</v>
      </c>
      <c r="E28" s="4" t="s">
        <v>66</v>
      </c>
      <c r="F28" s="4" t="s">
        <v>40</v>
      </c>
      <c r="G28" s="4" t="s">
        <v>51</v>
      </c>
      <c r="H28" s="8">
        <v>1.33</v>
      </c>
      <c r="I28" s="8">
        <v>1.06</v>
      </c>
      <c r="J28">
        <f>INDEX(Cantones!C:C,MATCH(Tabelle2[[#This Row],[Cantón]],Cantones!A:A,0))</f>
        <v>8.0699999999999994E-2</v>
      </c>
      <c r="K28">
        <f>INDEX(Cantones!D:D,MATCH(Tabelle2[[#This Row],[Cantón]],Cantones!A:A,0))</f>
        <v>-77.564899999999994</v>
      </c>
    </row>
    <row r="29" spans="1:11" ht="14.5" customHeight="1">
      <c r="A29" s="4" t="s">
        <v>309</v>
      </c>
      <c r="B29" s="4" t="s">
        <v>372</v>
      </c>
      <c r="C29" s="4" t="s">
        <v>78</v>
      </c>
      <c r="D29" s="4" t="s">
        <v>311</v>
      </c>
      <c r="E29" s="4" t="s">
        <v>66</v>
      </c>
      <c r="F29" s="4" t="s">
        <v>40</v>
      </c>
      <c r="G29" s="4" t="s">
        <v>51</v>
      </c>
      <c r="H29" s="8">
        <v>1.08</v>
      </c>
      <c r="I29" s="8">
        <v>0.86</v>
      </c>
      <c r="J29">
        <f>INDEX(Cantones!C:C,MATCH(Tabelle2[[#This Row],[Cantón]],Cantones!A:A,0))</f>
        <v>8.0699999999999994E-2</v>
      </c>
      <c r="K29">
        <f>INDEX(Cantones!D:D,MATCH(Tabelle2[[#This Row],[Cantón]],Cantones!A:A,0))</f>
        <v>-77.564899999999994</v>
      </c>
    </row>
    <row r="30" spans="1:11" ht="14.5" customHeight="1">
      <c r="A30" s="4" t="s">
        <v>337</v>
      </c>
      <c r="B30" s="4" t="s">
        <v>337</v>
      </c>
      <c r="C30" s="4" t="s">
        <v>50</v>
      </c>
      <c r="D30" s="4" t="s">
        <v>338</v>
      </c>
      <c r="E30" s="4" t="s">
        <v>13</v>
      </c>
      <c r="F30" s="4" t="s">
        <v>289</v>
      </c>
      <c r="G30" s="4" t="s">
        <v>289</v>
      </c>
      <c r="H30" s="8">
        <v>1</v>
      </c>
      <c r="I30" s="8">
        <v>1</v>
      </c>
      <c r="J30">
        <f>INDEX(Cantones!C:C,MATCH(Tabelle2[[#This Row],[Cantón]],Cantones!A:A,0))</f>
        <v>-0.43739460000000002</v>
      </c>
      <c r="K30">
        <f>INDEX(Cantones!D:D,MATCH(Tabelle2[[#This Row],[Cantón]],Cantones!A:A,0))</f>
        <v>-80.376140899999996</v>
      </c>
    </row>
    <row r="31" spans="1:11" ht="14.5" customHeight="1">
      <c r="A31" s="16" t="s">
        <v>202</v>
      </c>
      <c r="B31" s="4" t="s">
        <v>368</v>
      </c>
      <c r="C31" s="4" t="s">
        <v>83</v>
      </c>
      <c r="D31" s="4" t="s">
        <v>369</v>
      </c>
      <c r="E31" s="4" t="s">
        <v>13</v>
      </c>
      <c r="F31" s="4" t="s">
        <v>14</v>
      </c>
      <c r="G31" s="4" t="s">
        <v>15</v>
      </c>
      <c r="H31" s="8">
        <v>0.98</v>
      </c>
      <c r="I31" s="8">
        <v>0.95</v>
      </c>
      <c r="J31">
        <f>INDEX(Cantones!C:C,MATCH(Tabelle2[[#This Row],[Cantón]],Cantones!A:A,0))</f>
        <v>0.59730000000000005</v>
      </c>
      <c r="K31">
        <f>INDEX(Cantones!D:D,MATCH(Tabelle2[[#This Row],[Cantón]],Cantones!A:A,0))</f>
        <v>-78.206900000000005</v>
      </c>
    </row>
    <row r="32" spans="1:11" ht="14.5" customHeight="1">
      <c r="A32" s="4" t="s">
        <v>160</v>
      </c>
      <c r="B32" s="4" t="s">
        <v>161</v>
      </c>
      <c r="C32" s="4" t="s">
        <v>149</v>
      </c>
      <c r="D32" s="4" t="s">
        <v>162</v>
      </c>
      <c r="E32" s="4" t="s">
        <v>13</v>
      </c>
      <c r="F32" s="4" t="s">
        <v>14</v>
      </c>
      <c r="G32" s="4" t="s">
        <v>15</v>
      </c>
      <c r="H32" s="8">
        <v>16.600000000000001</v>
      </c>
      <c r="I32" s="8">
        <v>15</v>
      </c>
      <c r="J32">
        <f>INDEX(Cantones!C:C,MATCH(Tabelle2[[#This Row],[Cantón]],Cantones!A:A,0))</f>
        <v>-0.78419090000000002</v>
      </c>
      <c r="K32">
        <f>INDEX(Cantones!D:D,MATCH(Tabelle2[[#This Row],[Cantón]],Cantones!A:A,0))</f>
        <v>-79.101057299999994</v>
      </c>
    </row>
    <row r="33" spans="1:11" ht="14.5" customHeight="1">
      <c r="A33" s="38" t="s">
        <v>76</v>
      </c>
      <c r="B33" s="38" t="s">
        <v>452</v>
      </c>
      <c r="C33" s="4" t="s">
        <v>65</v>
      </c>
      <c r="D33" s="38" t="s">
        <v>65</v>
      </c>
      <c r="E33" s="4" t="s">
        <v>66</v>
      </c>
      <c r="F33" s="4" t="s">
        <v>40</v>
      </c>
      <c r="G33" s="38" t="s">
        <v>51</v>
      </c>
      <c r="H33" s="40">
        <v>0.05</v>
      </c>
      <c r="I33" s="8">
        <v>0.04</v>
      </c>
      <c r="J33">
        <f>INDEX(Cantones!C:C,MATCH(Tabelle2[[#This Row],[Cantón]],Cantones!A:A,0))</f>
        <v>-0.78617999999999999</v>
      </c>
      <c r="K33">
        <f>INDEX(Cantones!D:D,MATCH(Tabelle2[[#This Row],[Cantón]],Cantones!A:A,0))</f>
        <v>-76.480318400000002</v>
      </c>
    </row>
    <row r="34" spans="1:11" ht="14.5" customHeight="1">
      <c r="A34" s="31" t="s">
        <v>163</v>
      </c>
      <c r="B34" s="31" t="s">
        <v>451</v>
      </c>
      <c r="C34" s="6" t="s">
        <v>87</v>
      </c>
      <c r="D34" s="31" t="s">
        <v>97</v>
      </c>
      <c r="E34" s="6" t="s">
        <v>66</v>
      </c>
      <c r="F34" s="6" t="s">
        <v>14</v>
      </c>
      <c r="G34" s="31" t="s">
        <v>15</v>
      </c>
      <c r="H34" s="32">
        <v>0.06</v>
      </c>
      <c r="I34" s="9">
        <v>0.06</v>
      </c>
      <c r="J34">
        <f>INDEX(Cantones!C:C,MATCH(Tabelle2[[#This Row],[Cantón]],Cantones!A:A,0))</f>
        <v>-0.21549199999999999</v>
      </c>
      <c r="K34">
        <f>INDEX(Cantones!D:D,MATCH(Tabelle2[[#This Row],[Cantón]],Cantones!A:A,0))</f>
        <v>-78.501364800000005</v>
      </c>
    </row>
    <row r="35" spans="1:11" ht="14.5" customHeight="1">
      <c r="A35" s="14" t="s">
        <v>153</v>
      </c>
      <c r="B35" s="6" t="s">
        <v>274</v>
      </c>
      <c r="C35" s="6" t="s">
        <v>33</v>
      </c>
      <c r="D35" s="6" t="s">
        <v>34</v>
      </c>
      <c r="E35" s="6" t="s">
        <v>13</v>
      </c>
      <c r="F35" s="6" t="s">
        <v>14</v>
      </c>
      <c r="G35" s="6" t="s">
        <v>15</v>
      </c>
      <c r="H35" s="9">
        <v>2.4</v>
      </c>
      <c r="I35" s="9">
        <v>2.4</v>
      </c>
      <c r="J35">
        <f>INDEX(Cantones!C:C,MATCH(Tabelle2[[#This Row],[Cantón]],Cantones!A:A,0))</f>
        <v>-4.0042007999999996</v>
      </c>
      <c r="K35">
        <f>INDEX(Cantones!D:D,MATCH(Tabelle2[[#This Row],[Cantón]],Cantones!A:A,0))</f>
        <v>-78.957775400000003</v>
      </c>
    </row>
    <row r="36" spans="1:11" ht="14.5" customHeight="1">
      <c r="A36" s="16" t="s">
        <v>153</v>
      </c>
      <c r="B36" s="4" t="s">
        <v>154</v>
      </c>
      <c r="C36" s="4" t="s">
        <v>155</v>
      </c>
      <c r="D36" s="4" t="s">
        <v>154</v>
      </c>
      <c r="E36" s="4" t="s">
        <v>13</v>
      </c>
      <c r="F36" s="4" t="s">
        <v>40</v>
      </c>
      <c r="G36" s="4" t="s">
        <v>51</v>
      </c>
      <c r="H36" s="8">
        <v>19.739999999999998</v>
      </c>
      <c r="I36" s="8">
        <v>17.170000000000002</v>
      </c>
      <c r="J36">
        <f>INDEX(Cantones!C:C,MATCH(Tabelle2[[#This Row],[Cantón]],Cantones!A:A,0))</f>
        <v>-3.9870000000000001</v>
      </c>
      <c r="K36">
        <f>INDEX(Cantones!D:D,MATCH(Tabelle2[[#This Row],[Cantón]],Cantones!A:A,0))</f>
        <v>-79.359200000000001</v>
      </c>
    </row>
    <row r="37" spans="1:11" ht="14.5" customHeight="1">
      <c r="A37" s="22" t="s">
        <v>232</v>
      </c>
      <c r="B37" s="6" t="s">
        <v>379</v>
      </c>
      <c r="C37" s="6" t="s">
        <v>149</v>
      </c>
      <c r="D37" s="6" t="s">
        <v>380</v>
      </c>
      <c r="E37" s="6" t="s">
        <v>66</v>
      </c>
      <c r="F37" s="6" t="s">
        <v>14</v>
      </c>
      <c r="G37" s="6" t="s">
        <v>15</v>
      </c>
      <c r="H37" s="9">
        <v>0.8</v>
      </c>
      <c r="I37" s="9">
        <v>0.76</v>
      </c>
      <c r="J37">
        <f>INDEX(Cantones!C:C,MATCH(Tabelle2[[#This Row],[Cantón]],Cantones!A:A,0))</f>
        <v>-1.1007381000000001</v>
      </c>
      <c r="K37">
        <f>INDEX(Cantones!D:D,MATCH(Tabelle2[[#This Row],[Cantón]],Cantones!A:A,0))</f>
        <v>-79.164110899999997</v>
      </c>
    </row>
    <row r="38" spans="1:11" ht="14.5" customHeight="1">
      <c r="A38" s="6" t="s">
        <v>219</v>
      </c>
      <c r="B38" s="6" t="s">
        <v>256</v>
      </c>
      <c r="C38" s="6" t="s">
        <v>78</v>
      </c>
      <c r="D38" s="6" t="s">
        <v>93</v>
      </c>
      <c r="E38" s="6" t="s">
        <v>66</v>
      </c>
      <c r="F38" s="6" t="s">
        <v>40</v>
      </c>
      <c r="G38" s="6" t="s">
        <v>51</v>
      </c>
      <c r="H38" s="9">
        <v>3.36</v>
      </c>
      <c r="I38" s="9">
        <v>3.36</v>
      </c>
      <c r="J38">
        <f>INDEX(Cantones!C:C,MATCH(Tabelle2[[#This Row],[Cantón]],Cantones!A:A,0))</f>
        <v>0.1116857</v>
      </c>
      <c r="K38">
        <f>INDEX(Cantones!D:D,MATCH(Tabelle2[[#This Row],[Cantón]],Cantones!A:A,0))</f>
        <v>-77.639881700000004</v>
      </c>
    </row>
    <row r="39" spans="1:11" ht="14.5" customHeight="1">
      <c r="A39" s="6" t="s">
        <v>76</v>
      </c>
      <c r="B39" s="6" t="s">
        <v>417</v>
      </c>
      <c r="C39" s="6" t="s">
        <v>65</v>
      </c>
      <c r="D39" s="6" t="s">
        <v>65</v>
      </c>
      <c r="E39" s="6" t="s">
        <v>66</v>
      </c>
      <c r="F39" s="6" t="s">
        <v>40</v>
      </c>
      <c r="G39" s="6" t="s">
        <v>51</v>
      </c>
      <c r="H39" s="9">
        <v>0.41</v>
      </c>
      <c r="I39" s="9">
        <v>0.33</v>
      </c>
      <c r="J39">
        <f>INDEX(Cantones!C:C,MATCH(Tabelle2[[#This Row],[Cantón]],Cantones!A:A,0))</f>
        <v>-0.78617999999999999</v>
      </c>
      <c r="K39">
        <f>INDEX(Cantones!D:D,MATCH(Tabelle2[[#This Row],[Cantón]],Cantones!A:A,0))</f>
        <v>-76.480318400000002</v>
      </c>
    </row>
    <row r="40" spans="1:11" ht="14.5" customHeight="1">
      <c r="A40" s="6" t="s">
        <v>63</v>
      </c>
      <c r="B40" s="6" t="s">
        <v>403</v>
      </c>
      <c r="C40" s="6" t="s">
        <v>65</v>
      </c>
      <c r="D40" s="6" t="s">
        <v>65</v>
      </c>
      <c r="E40" s="6" t="s">
        <v>66</v>
      </c>
      <c r="F40" s="6" t="s">
        <v>40</v>
      </c>
      <c r="G40" s="6" t="s">
        <v>51</v>
      </c>
      <c r="H40" s="9">
        <v>0.73</v>
      </c>
      <c r="I40" s="9">
        <v>0.45</v>
      </c>
      <c r="J40">
        <f>INDEX(Cantones!C:C,MATCH(Tabelle2[[#This Row],[Cantón]],Cantones!A:A,0))</f>
        <v>-0.78617999999999999</v>
      </c>
      <c r="K40">
        <f>INDEX(Cantones!D:D,MATCH(Tabelle2[[#This Row],[Cantón]],Cantones!A:A,0))</f>
        <v>-76.480318400000002</v>
      </c>
    </row>
    <row r="41" spans="1:11" ht="14.5" customHeight="1">
      <c r="A41" s="11" t="s">
        <v>63</v>
      </c>
      <c r="B41" s="6" t="s">
        <v>175</v>
      </c>
      <c r="C41" s="6" t="s">
        <v>65</v>
      </c>
      <c r="D41" s="6" t="s">
        <v>122</v>
      </c>
      <c r="E41" s="6" t="s">
        <v>66</v>
      </c>
      <c r="F41" s="6" t="s">
        <v>40</v>
      </c>
      <c r="G41" s="6" t="s">
        <v>51</v>
      </c>
      <c r="H41" s="9">
        <v>14.4</v>
      </c>
      <c r="I41" s="9">
        <v>11.2</v>
      </c>
      <c r="J41">
        <f>INDEX(Cantones!C:C,MATCH(Tabelle2[[#This Row],[Cantón]],Cantones!A:A,0))</f>
        <v>-0.2611097</v>
      </c>
      <c r="K41">
        <f>INDEX(Cantones!D:D,MATCH(Tabelle2[[#This Row],[Cantón]],Cantones!A:A,0))</f>
        <v>-76.9080096</v>
      </c>
    </row>
    <row r="42" spans="1:11" ht="14.5" customHeight="1">
      <c r="A42" s="6" t="s">
        <v>68</v>
      </c>
      <c r="B42" s="6" t="s">
        <v>212</v>
      </c>
      <c r="C42" s="6" t="s">
        <v>78</v>
      </c>
      <c r="D42" s="6" t="s">
        <v>134</v>
      </c>
      <c r="E42" s="6" t="s">
        <v>13</v>
      </c>
      <c r="F42" s="6" t="s">
        <v>40</v>
      </c>
      <c r="G42" s="6" t="s">
        <v>51</v>
      </c>
      <c r="H42" s="9">
        <v>10</v>
      </c>
      <c r="I42" s="9">
        <v>7.2</v>
      </c>
      <c r="J42">
        <f>INDEX(Cantones!C:C,MATCH(Tabelle2[[#This Row],[Cantón]],Cantones!A:A,0))</f>
        <v>8.5400000000000004E-2</v>
      </c>
      <c r="K42">
        <f>INDEX(Cantones!D:D,MATCH(Tabelle2[[#This Row],[Cantón]],Cantones!A:A,0))</f>
        <v>-76.891499999999994</v>
      </c>
    </row>
    <row r="43" spans="1:11" ht="14.5" customHeight="1">
      <c r="A43" s="11" t="s">
        <v>63</v>
      </c>
      <c r="B43" s="21" t="s">
        <v>238</v>
      </c>
      <c r="C43" s="6" t="s">
        <v>65</v>
      </c>
      <c r="D43" s="6" t="s">
        <v>65</v>
      </c>
      <c r="E43" s="6" t="s">
        <v>66</v>
      </c>
      <c r="F43" s="6" t="s">
        <v>40</v>
      </c>
      <c r="G43" s="6" t="s">
        <v>51</v>
      </c>
      <c r="H43" s="9">
        <v>5.52</v>
      </c>
      <c r="I43" s="9">
        <v>4.42</v>
      </c>
      <c r="J43">
        <f>INDEX(Cantones!C:C,MATCH(Tabelle2[[#This Row],[Cantón]],Cantones!A:A,0))</f>
        <v>-0.78617999999999999</v>
      </c>
      <c r="K43">
        <f>INDEX(Cantones!D:D,MATCH(Tabelle2[[#This Row],[Cantón]],Cantones!A:A,0))</f>
        <v>-76.480318400000002</v>
      </c>
    </row>
    <row r="44" spans="1:11" ht="14.5" customHeight="1">
      <c r="A44" s="6" t="s">
        <v>219</v>
      </c>
      <c r="B44" s="6" t="s">
        <v>439</v>
      </c>
      <c r="C44" s="6" t="s">
        <v>87</v>
      </c>
      <c r="D44" s="6" t="s">
        <v>97</v>
      </c>
      <c r="E44" s="6" t="s">
        <v>66</v>
      </c>
      <c r="F44" s="6" t="s">
        <v>40</v>
      </c>
      <c r="G44" s="6" t="s">
        <v>51</v>
      </c>
      <c r="H44" s="9">
        <v>0.16</v>
      </c>
      <c r="I44" s="9">
        <v>0.16</v>
      </c>
      <c r="J44">
        <f>INDEX(Cantones!C:C,MATCH(Tabelle2[[#This Row],[Cantón]],Cantones!A:A,0))</f>
        <v>-0.21549199999999999</v>
      </c>
      <c r="K44">
        <f>INDEX(Cantones!D:D,MATCH(Tabelle2[[#This Row],[Cantón]],Cantones!A:A,0))</f>
        <v>-78.501364800000005</v>
      </c>
    </row>
    <row r="45" spans="1:11" ht="14.5" customHeight="1">
      <c r="A45" s="6" t="s">
        <v>76</v>
      </c>
      <c r="B45" s="6" t="s">
        <v>424</v>
      </c>
      <c r="C45" s="6" t="s">
        <v>78</v>
      </c>
      <c r="D45" s="6" t="s">
        <v>79</v>
      </c>
      <c r="E45" s="6" t="s">
        <v>66</v>
      </c>
      <c r="F45" s="6" t="s">
        <v>40</v>
      </c>
      <c r="G45" s="6" t="s">
        <v>51</v>
      </c>
      <c r="H45" s="9">
        <v>0.37</v>
      </c>
      <c r="I45" s="9">
        <v>0.3</v>
      </c>
      <c r="J45">
        <f>INDEX(Cantones!C:C,MATCH(Tabelle2[[#This Row],[Cantón]],Cantones!A:A,0))</f>
        <v>-0.26551140000000001</v>
      </c>
      <c r="K45">
        <f>INDEX(Cantones!D:D,MATCH(Tabelle2[[#This Row],[Cantón]],Cantones!A:A,0))</f>
        <v>-75.892069199999995</v>
      </c>
    </row>
    <row r="46" spans="1:11" ht="14.5" customHeight="1">
      <c r="A46" s="4" t="s">
        <v>63</v>
      </c>
      <c r="B46" s="4" t="s">
        <v>208</v>
      </c>
      <c r="C46" s="4" t="s">
        <v>65</v>
      </c>
      <c r="D46" s="4" t="s">
        <v>65</v>
      </c>
      <c r="E46" s="4" t="s">
        <v>66</v>
      </c>
      <c r="F46" s="4" t="s">
        <v>40</v>
      </c>
      <c r="G46" s="4" t="s">
        <v>51</v>
      </c>
      <c r="H46" s="8">
        <v>10.83</v>
      </c>
      <c r="I46" s="8">
        <v>7.67</v>
      </c>
      <c r="J46">
        <f>INDEX(Cantones!C:C,MATCH(Tabelle2[[#This Row],[Cantón]],Cantones!A:A,0))</f>
        <v>-0.78617999999999999</v>
      </c>
      <c r="K46">
        <f>INDEX(Cantones!D:D,MATCH(Tabelle2[[#This Row],[Cantón]],Cantones!A:A,0))</f>
        <v>-76.480318400000002</v>
      </c>
    </row>
    <row r="47" spans="1:11" ht="14.5" customHeight="1">
      <c r="A47" s="4" t="s">
        <v>9</v>
      </c>
      <c r="B47" s="4" t="s">
        <v>10</v>
      </c>
      <c r="C47" s="4" t="s">
        <v>11</v>
      </c>
      <c r="D47" s="4" t="s">
        <v>12</v>
      </c>
      <c r="E47" s="4" t="s">
        <v>13</v>
      </c>
      <c r="F47" s="4" t="s">
        <v>14</v>
      </c>
      <c r="G47" s="4" t="s">
        <v>15</v>
      </c>
      <c r="H47" s="5">
        <v>1500</v>
      </c>
      <c r="I47" s="5">
        <v>1476</v>
      </c>
      <c r="J47">
        <f>INDEX(Cantones!C:C,MATCH(Tabelle2[[#This Row],[Cantón]],Cantones!A:A,0))</f>
        <v>-0.33866420000000003</v>
      </c>
      <c r="K47">
        <f>INDEX(Cantones!D:D,MATCH(Tabelle2[[#This Row],[Cantón]],Cantones!A:A,0))</f>
        <v>-77.809850999999995</v>
      </c>
    </row>
    <row r="48" spans="1:11" ht="14.5" customHeight="1">
      <c r="A48" s="4" t="s">
        <v>63</v>
      </c>
      <c r="B48" s="4" t="s">
        <v>420</v>
      </c>
      <c r="C48" s="4" t="s">
        <v>65</v>
      </c>
      <c r="D48" s="4" t="s">
        <v>65</v>
      </c>
      <c r="E48" s="4" t="s">
        <v>66</v>
      </c>
      <c r="F48" s="4" t="s">
        <v>40</v>
      </c>
      <c r="G48" s="4" t="s">
        <v>51</v>
      </c>
      <c r="H48" s="8">
        <v>0.89</v>
      </c>
      <c r="I48" s="8">
        <v>0.31</v>
      </c>
      <c r="J48">
        <f>INDEX(Cantones!C:C,MATCH(Tabelle2[[#This Row],[Cantón]],Cantones!A:A,0))</f>
        <v>-0.78617999999999999</v>
      </c>
      <c r="K48">
        <f>INDEX(Cantones!D:D,MATCH(Tabelle2[[#This Row],[Cantón]],Cantones!A:A,0))</f>
        <v>-76.480318400000002</v>
      </c>
    </row>
    <row r="49" spans="1:11" ht="14.5" customHeight="1">
      <c r="A49" s="4" t="s">
        <v>63</v>
      </c>
      <c r="B49" s="4" t="s">
        <v>177</v>
      </c>
      <c r="C49" s="4" t="s">
        <v>116</v>
      </c>
      <c r="D49" s="4" t="s">
        <v>178</v>
      </c>
      <c r="E49" s="4" t="s">
        <v>66</v>
      </c>
      <c r="F49" s="4" t="s">
        <v>40</v>
      </c>
      <c r="G49" s="4" t="s">
        <v>51</v>
      </c>
      <c r="H49" s="8">
        <v>15.04</v>
      </c>
      <c r="I49" s="8">
        <v>10.53</v>
      </c>
      <c r="J49">
        <f>INDEX(Cantones!C:C,MATCH(Tabelle2[[#This Row],[Cantón]],Cantones!A:A,0))</f>
        <v>-1.3537363</v>
      </c>
      <c r="K49">
        <f>INDEX(Cantones!D:D,MATCH(Tabelle2[[#This Row],[Cantón]],Cantones!A:A,0))</f>
        <v>-76.844110099999995</v>
      </c>
    </row>
    <row r="50" spans="1:11" ht="14.5" customHeight="1">
      <c r="A50" s="22" t="s">
        <v>165</v>
      </c>
      <c r="B50" s="6" t="s">
        <v>363</v>
      </c>
      <c r="C50" s="6" t="s">
        <v>87</v>
      </c>
      <c r="D50" s="27" t="s">
        <v>529</v>
      </c>
      <c r="E50" s="6" t="s">
        <v>13</v>
      </c>
      <c r="F50" s="6" t="s">
        <v>14</v>
      </c>
      <c r="G50" s="6" t="s">
        <v>15</v>
      </c>
      <c r="H50" s="9">
        <v>0.99</v>
      </c>
      <c r="I50" s="9">
        <v>0.98</v>
      </c>
      <c r="J50">
        <f>INDEX(Cantones!C:C,MATCH(Tabelle2[[#This Row],[Cantón]],Cantones!A:A,0))</f>
        <v>-0.49847740000000001</v>
      </c>
      <c r="K50">
        <f>INDEX(Cantones!D:D,MATCH(Tabelle2[[#This Row],[Cantón]],Cantones!A:A,0))</f>
        <v>-78.651691499999998</v>
      </c>
    </row>
    <row r="51" spans="1:11" ht="14.5" customHeight="1">
      <c r="A51" s="6" t="s">
        <v>114</v>
      </c>
      <c r="B51" s="6" t="s">
        <v>115</v>
      </c>
      <c r="C51" s="6" t="s">
        <v>116</v>
      </c>
      <c r="D51" s="6" t="s">
        <v>116</v>
      </c>
      <c r="E51" s="6" t="s">
        <v>66</v>
      </c>
      <c r="F51" s="6" t="s">
        <v>40</v>
      </c>
      <c r="G51" s="6" t="s">
        <v>51</v>
      </c>
      <c r="H51" s="9">
        <v>40.340000000000003</v>
      </c>
      <c r="I51" s="9">
        <v>36.229999999999997</v>
      </c>
      <c r="J51">
        <f>INDEX(Cantones!C:C,MATCH(Tabelle2[[#This Row],[Cantón]],Cantones!A:A,0))</f>
        <v>-1.9166669999999999</v>
      </c>
      <c r="K51">
        <f>INDEX(Cantones!D:D,MATCH(Tabelle2[[#This Row],[Cantón]],Cantones!A:A,0))</f>
        <v>-77</v>
      </c>
    </row>
    <row r="52" spans="1:11" ht="14.5" customHeight="1">
      <c r="A52" s="15" t="s">
        <v>63</v>
      </c>
      <c r="B52" s="4" t="s">
        <v>115</v>
      </c>
      <c r="C52" s="4" t="s">
        <v>78</v>
      </c>
      <c r="D52" s="4" t="s">
        <v>102</v>
      </c>
      <c r="E52" s="4" t="s">
        <v>66</v>
      </c>
      <c r="F52" s="4" t="s">
        <v>40</v>
      </c>
      <c r="G52" s="4" t="s">
        <v>51</v>
      </c>
      <c r="H52" s="8">
        <v>38.590000000000003</v>
      </c>
      <c r="I52" s="8">
        <v>26.59</v>
      </c>
      <c r="J52">
        <f>INDEX(Cantones!C:C,MATCH(Tabelle2[[#This Row],[Cantón]],Cantones!A:A,0))</f>
        <v>-0.28860940000000002</v>
      </c>
      <c r="K52">
        <f>INDEX(Cantones!D:D,MATCH(Tabelle2[[#This Row],[Cantón]],Cantones!A:A,0))</f>
        <v>-76.590663199999995</v>
      </c>
    </row>
    <row r="53" spans="1:11" ht="14.5" customHeight="1">
      <c r="A53" s="4" t="s">
        <v>76</v>
      </c>
      <c r="B53" s="4" t="s">
        <v>320</v>
      </c>
      <c r="C53" s="4" t="s">
        <v>65</v>
      </c>
      <c r="D53" s="4" t="s">
        <v>65</v>
      </c>
      <c r="E53" s="4" t="s">
        <v>66</v>
      </c>
      <c r="F53" s="4" t="s">
        <v>40</v>
      </c>
      <c r="G53" s="4" t="s">
        <v>51</v>
      </c>
      <c r="H53" s="8">
        <v>1.59</v>
      </c>
      <c r="I53" s="8">
        <v>1.27</v>
      </c>
      <c r="J53">
        <f>INDEX(Cantones!C:C,MATCH(Tabelle2[[#This Row],[Cantón]],Cantones!A:A,0))</f>
        <v>-0.78617999999999999</v>
      </c>
      <c r="K53">
        <f>INDEX(Cantones!D:D,MATCH(Tabelle2[[#This Row],[Cantón]],Cantones!A:A,0))</f>
        <v>-76.480318400000002</v>
      </c>
    </row>
    <row r="54" spans="1:11" ht="14.5" customHeight="1">
      <c r="A54" s="14" t="s">
        <v>106</v>
      </c>
      <c r="B54" s="6" t="s">
        <v>107</v>
      </c>
      <c r="C54" s="6" t="s">
        <v>87</v>
      </c>
      <c r="D54" s="6" t="s">
        <v>97</v>
      </c>
      <c r="E54" s="6" t="s">
        <v>13</v>
      </c>
      <c r="F54" s="6" t="s">
        <v>14</v>
      </c>
      <c r="G54" s="6" t="s">
        <v>15</v>
      </c>
      <c r="H54" s="9">
        <v>40</v>
      </c>
      <c r="I54" s="9">
        <v>40</v>
      </c>
      <c r="J54">
        <f>INDEX(Cantones!C:C,MATCH(Tabelle2[[#This Row],[Cantón]],Cantones!A:A,0))</f>
        <v>-0.21549199999999999</v>
      </c>
      <c r="K54">
        <f>INDEX(Cantones!D:D,MATCH(Tabelle2[[#This Row],[Cantón]],Cantones!A:A,0))</f>
        <v>-78.501364800000005</v>
      </c>
    </row>
    <row r="55" spans="1:11" ht="14.5" customHeight="1">
      <c r="A55" s="11" t="s">
        <v>63</v>
      </c>
      <c r="B55" s="6" t="s">
        <v>79</v>
      </c>
      <c r="C55" s="6" t="s">
        <v>78</v>
      </c>
      <c r="D55" s="6" t="s">
        <v>134</v>
      </c>
      <c r="E55" s="6" t="s">
        <v>66</v>
      </c>
      <c r="F55" s="6" t="s">
        <v>40</v>
      </c>
      <c r="G55" s="6" t="s">
        <v>51</v>
      </c>
      <c r="H55" s="9">
        <v>23.15</v>
      </c>
      <c r="I55" s="9">
        <v>14.09</v>
      </c>
      <c r="J55">
        <f>INDEX(Cantones!C:C,MATCH(Tabelle2[[#This Row],[Cantón]],Cantones!A:A,0))</f>
        <v>8.5400000000000004E-2</v>
      </c>
      <c r="K55">
        <f>INDEX(Cantones!D:D,MATCH(Tabelle2[[#This Row],[Cantón]],Cantones!A:A,0))</f>
        <v>-76.891499999999994</v>
      </c>
    </row>
    <row r="56" spans="1:11" ht="14.5" customHeight="1">
      <c r="A56" s="6" t="s">
        <v>63</v>
      </c>
      <c r="B56" s="6" t="s">
        <v>264</v>
      </c>
      <c r="C56" s="6" t="s">
        <v>78</v>
      </c>
      <c r="D56" s="6" t="s">
        <v>79</v>
      </c>
      <c r="E56" s="6" t="s">
        <v>66</v>
      </c>
      <c r="F56" s="6" t="s">
        <v>40</v>
      </c>
      <c r="G56" s="6" t="s">
        <v>51</v>
      </c>
      <c r="H56" s="9">
        <v>3.65</v>
      </c>
      <c r="I56" s="9">
        <v>2.74</v>
      </c>
      <c r="J56">
        <f>INDEX(Cantones!C:C,MATCH(Tabelle2[[#This Row],[Cantón]],Cantones!A:A,0))</f>
        <v>-0.26551140000000001</v>
      </c>
      <c r="K56">
        <f>INDEX(Cantones!D:D,MATCH(Tabelle2[[#This Row],[Cantón]],Cantones!A:A,0))</f>
        <v>-75.892069199999995</v>
      </c>
    </row>
    <row r="57" spans="1:11" ht="14.5" customHeight="1">
      <c r="A57" s="6" t="s">
        <v>68</v>
      </c>
      <c r="B57" s="6" t="s">
        <v>297</v>
      </c>
      <c r="C57" s="6" t="s">
        <v>65</v>
      </c>
      <c r="D57" s="6" t="s">
        <v>65</v>
      </c>
      <c r="E57" s="6" t="s">
        <v>13</v>
      </c>
      <c r="F57" s="6" t="s">
        <v>40</v>
      </c>
      <c r="G57" s="6" t="s">
        <v>51</v>
      </c>
      <c r="H57" s="9">
        <v>2.25</v>
      </c>
      <c r="I57" s="9">
        <v>1.8</v>
      </c>
      <c r="J57">
        <f>INDEX(Cantones!C:C,MATCH(Tabelle2[[#This Row],[Cantón]],Cantones!A:A,0))</f>
        <v>-0.78617999999999999</v>
      </c>
      <c r="K57">
        <f>INDEX(Cantones!D:D,MATCH(Tabelle2[[#This Row],[Cantón]],Cantones!A:A,0))</f>
        <v>-76.480318400000002</v>
      </c>
    </row>
    <row r="58" spans="1:11">
      <c r="A58" s="4" t="s">
        <v>32</v>
      </c>
      <c r="B58" s="42" t="s">
        <v>563</v>
      </c>
      <c r="C58" s="4" t="s">
        <v>33</v>
      </c>
      <c r="D58" s="4" t="s">
        <v>34</v>
      </c>
      <c r="E58" s="4" t="s">
        <v>13</v>
      </c>
      <c r="F58" s="4" t="s">
        <v>14</v>
      </c>
      <c r="G58" s="4" t="s">
        <v>15</v>
      </c>
      <c r="H58" s="8">
        <v>180</v>
      </c>
      <c r="I58" s="8">
        <v>180</v>
      </c>
      <c r="J58">
        <f>INDEX(Cantones!C:C,MATCH(Tabelle2[[#This Row],[Cantón]],Cantones!A:A,0))</f>
        <v>-4.0042007999999996</v>
      </c>
      <c r="K58">
        <f>INDEX(Cantones!D:D,MATCH(Tabelle2[[#This Row],[Cantón]],Cantones!A:A,0))</f>
        <v>-78.957775400000003</v>
      </c>
    </row>
    <row r="59" spans="1:11">
      <c r="A59" s="6" t="s">
        <v>76</v>
      </c>
      <c r="B59" s="6" t="s">
        <v>230</v>
      </c>
      <c r="C59" s="6" t="s">
        <v>78</v>
      </c>
      <c r="D59" s="6" t="s">
        <v>79</v>
      </c>
      <c r="E59" s="6" t="s">
        <v>66</v>
      </c>
      <c r="F59" s="6" t="s">
        <v>40</v>
      </c>
      <c r="G59" s="6" t="s">
        <v>51</v>
      </c>
      <c r="H59" s="9">
        <v>7.75</v>
      </c>
      <c r="I59" s="9">
        <v>5.4</v>
      </c>
      <c r="J59">
        <f>INDEX(Cantones!C:C,MATCH(Tabelle2[[#This Row],[Cantón]],Cantones!A:A,0))</f>
        <v>-0.26551140000000001</v>
      </c>
      <c r="K59">
        <f>INDEX(Cantones!D:D,MATCH(Tabelle2[[#This Row],[Cantón]],Cantones!A:A,0))</f>
        <v>-75.892069199999995</v>
      </c>
    </row>
    <row r="60" spans="1:11">
      <c r="A60" s="4" t="s">
        <v>76</v>
      </c>
      <c r="B60" s="4" t="s">
        <v>429</v>
      </c>
      <c r="C60" s="4" t="s">
        <v>78</v>
      </c>
      <c r="D60" s="4" t="s">
        <v>79</v>
      </c>
      <c r="E60" s="4" t="s">
        <v>66</v>
      </c>
      <c r="F60" s="4" t="s">
        <v>40</v>
      </c>
      <c r="G60" s="4" t="s">
        <v>51</v>
      </c>
      <c r="H60" s="8">
        <v>0.37</v>
      </c>
      <c r="I60" s="8">
        <v>0.27</v>
      </c>
      <c r="J60">
        <f>INDEX(Cantones!C:C,MATCH(Tabelle2[[#This Row],[Cantón]],Cantones!A:A,0))</f>
        <v>-0.26551140000000001</v>
      </c>
      <c r="K60">
        <f>INDEX(Cantones!D:D,MATCH(Tabelle2[[#This Row],[Cantón]],Cantones!A:A,0))</f>
        <v>-75.892069199999995</v>
      </c>
    </row>
    <row r="61" spans="1:11">
      <c r="A61" s="23" t="s">
        <v>76</v>
      </c>
      <c r="B61" s="4" t="s">
        <v>383</v>
      </c>
      <c r="C61" s="4" t="s">
        <v>78</v>
      </c>
      <c r="D61" s="4" t="s">
        <v>79</v>
      </c>
      <c r="E61" s="4" t="s">
        <v>66</v>
      </c>
      <c r="F61" s="4" t="s">
        <v>40</v>
      </c>
      <c r="G61" s="4" t="s">
        <v>51</v>
      </c>
      <c r="H61" s="8">
        <v>1</v>
      </c>
      <c r="I61" s="8">
        <v>0.75</v>
      </c>
      <c r="J61">
        <f>INDEX(Cantones!C:C,MATCH(Tabelle2[[#This Row],[Cantón]],Cantones!A:A,0))</f>
        <v>-0.26551140000000001</v>
      </c>
      <c r="K61">
        <f>INDEX(Cantones!D:D,MATCH(Tabelle2[[#This Row],[Cantón]],Cantones!A:A,0))</f>
        <v>-75.892069199999995</v>
      </c>
    </row>
    <row r="62" spans="1:11">
      <c r="A62" s="4" t="s">
        <v>91</v>
      </c>
      <c r="B62" s="4" t="s">
        <v>92</v>
      </c>
      <c r="C62" s="4" t="s">
        <v>78</v>
      </c>
      <c r="D62" s="4" t="s">
        <v>93</v>
      </c>
      <c r="E62" s="4" t="s">
        <v>13</v>
      </c>
      <c r="F62" s="4" t="s">
        <v>14</v>
      </c>
      <c r="G62" s="4" t="s">
        <v>15</v>
      </c>
      <c r="H62" s="8">
        <v>49.71</v>
      </c>
      <c r="I62" s="8">
        <v>49.71</v>
      </c>
      <c r="J62">
        <f>INDEX(Cantones!C:C,MATCH(Tabelle2[[#This Row],[Cantón]],Cantones!A:A,0))</f>
        <v>0.1116857</v>
      </c>
      <c r="K62">
        <f>INDEX(Cantones!D:D,MATCH(Tabelle2[[#This Row],[Cantón]],Cantones!A:A,0))</f>
        <v>-77.639881700000004</v>
      </c>
    </row>
    <row r="63" spans="1:11">
      <c r="A63" s="6" t="s">
        <v>63</v>
      </c>
      <c r="B63" s="6" t="s">
        <v>266</v>
      </c>
      <c r="C63" s="6" t="s">
        <v>65</v>
      </c>
      <c r="D63" s="6" t="s">
        <v>65</v>
      </c>
      <c r="E63" s="6" t="s">
        <v>66</v>
      </c>
      <c r="F63" s="6" t="s">
        <v>40</v>
      </c>
      <c r="G63" s="6" t="s">
        <v>51</v>
      </c>
      <c r="H63" s="9">
        <v>2.9</v>
      </c>
      <c r="I63" s="9">
        <v>2.6</v>
      </c>
      <c r="J63">
        <f>INDEX(Cantones!C:C,MATCH(Tabelle2[[#This Row],[Cantón]],Cantones!A:A,0))</f>
        <v>-0.78617999999999999</v>
      </c>
      <c r="K63">
        <f>INDEX(Cantones!D:D,MATCH(Tabelle2[[#This Row],[Cantón]],Cantones!A:A,0))</f>
        <v>-76.480318400000002</v>
      </c>
    </row>
    <row r="64" spans="1:11">
      <c r="A64" s="4" t="s">
        <v>117</v>
      </c>
      <c r="B64" s="4" t="s">
        <v>117</v>
      </c>
      <c r="C64" s="4" t="s">
        <v>26</v>
      </c>
      <c r="D64" s="4" t="s">
        <v>118</v>
      </c>
      <c r="E64" s="4" t="s">
        <v>13</v>
      </c>
      <c r="F64" s="4" t="s">
        <v>74</v>
      </c>
      <c r="G64" s="4" t="s">
        <v>41</v>
      </c>
      <c r="H64" s="8">
        <v>36.5</v>
      </c>
      <c r="I64" s="8">
        <v>35.200000000000003</v>
      </c>
      <c r="J64">
        <f>INDEX(Cantones!C:C,MATCH(Tabelle2[[#This Row],[Cantón]],Cantones!A:A,0))</f>
        <v>-2.1171796000000001</v>
      </c>
      <c r="K64">
        <f>INDEX(Cantones!D:D,MATCH(Tabelle2[[#This Row],[Cantón]],Cantones!A:A,0))</f>
        <v>-79.556660600000001</v>
      </c>
    </row>
    <row r="65" spans="1:11">
      <c r="A65" s="4" t="s">
        <v>127</v>
      </c>
      <c r="B65" s="4" t="s">
        <v>128</v>
      </c>
      <c r="C65" s="4" t="s">
        <v>129</v>
      </c>
      <c r="D65" s="4" t="s">
        <v>130</v>
      </c>
      <c r="E65" s="4" t="s">
        <v>13</v>
      </c>
      <c r="F65" s="4" t="s">
        <v>74</v>
      </c>
      <c r="G65" s="4" t="s">
        <v>41</v>
      </c>
      <c r="H65" s="8">
        <v>29.8</v>
      </c>
      <c r="I65" s="8">
        <v>27.6</v>
      </c>
      <c r="J65">
        <f>INDEX(Cantones!C:C,MATCH(Tabelle2[[#This Row],[Cantón]],Cantones!A:A,0))</f>
        <v>-2.4239000000000002</v>
      </c>
      <c r="K65">
        <f>INDEX(Cantones!D:D,MATCH(Tabelle2[[#This Row],[Cantón]],Cantones!A:A,0))</f>
        <v>-79.336699999999993</v>
      </c>
    </row>
    <row r="66" spans="1:11">
      <c r="A66" s="6" t="s">
        <v>163</v>
      </c>
      <c r="B66" s="6" t="s">
        <v>197</v>
      </c>
      <c r="C66" s="6" t="s">
        <v>87</v>
      </c>
      <c r="D66" s="6" t="s">
        <v>97</v>
      </c>
      <c r="E66" s="6" t="s">
        <v>13</v>
      </c>
      <c r="F66" s="6" t="s">
        <v>14</v>
      </c>
      <c r="G66" s="6" t="s">
        <v>15</v>
      </c>
      <c r="H66" s="9">
        <v>8.4</v>
      </c>
      <c r="I66" s="9">
        <v>8.1999999999999993</v>
      </c>
      <c r="J66">
        <f>INDEX(Cantones!C:C,MATCH(Tabelle2[[#This Row],[Cantón]],Cantones!A:A,0))</f>
        <v>-0.21549199999999999</v>
      </c>
      <c r="K66">
        <f>INDEX(Cantones!D:D,MATCH(Tabelle2[[#This Row],[Cantón]],Cantones!A:A,0))</f>
        <v>-78.501364800000005</v>
      </c>
    </row>
    <row r="67" spans="1:11">
      <c r="A67" s="6" t="s">
        <v>135</v>
      </c>
      <c r="B67" s="6" t="s">
        <v>151</v>
      </c>
      <c r="C67" s="6" t="s">
        <v>129</v>
      </c>
      <c r="D67" s="6" t="s">
        <v>152</v>
      </c>
      <c r="E67" s="6" t="s">
        <v>13</v>
      </c>
      <c r="F67" s="6" t="s">
        <v>40</v>
      </c>
      <c r="G67" s="6" t="s">
        <v>51</v>
      </c>
      <c r="H67" s="9">
        <v>19.2</v>
      </c>
      <c r="I67" s="9">
        <v>17.2</v>
      </c>
      <c r="J67">
        <f>INDEX(Cantones!C:C,MATCH(Tabelle2[[#This Row],[Cantón]],Cantones!A:A,0))</f>
        <v>-2.6317292000000001</v>
      </c>
      <c r="K67">
        <f>INDEX(Cantones!D:D,MATCH(Tabelle2[[#This Row],[Cantón]],Cantones!A:A,0))</f>
        <v>-78.700893399999998</v>
      </c>
    </row>
    <row r="68" spans="1:11">
      <c r="A68" s="15" t="s">
        <v>232</v>
      </c>
      <c r="B68" s="4" t="s">
        <v>303</v>
      </c>
      <c r="C68" s="4" t="s">
        <v>149</v>
      </c>
      <c r="D68" s="33" t="s">
        <v>535</v>
      </c>
      <c r="E68" s="4" t="s">
        <v>66</v>
      </c>
      <c r="F68" s="4" t="s">
        <v>14</v>
      </c>
      <c r="G68" s="4" t="s">
        <v>15</v>
      </c>
      <c r="H68" s="8">
        <v>1.7</v>
      </c>
      <c r="I68" s="8">
        <v>1.66</v>
      </c>
      <c r="J68">
        <f>INDEX(Cantones!C:C,MATCH(Tabelle2[[#This Row],[Cantón]],Cantones!A:A,0))</f>
        <v>-1.0077046999999999</v>
      </c>
      <c r="K68">
        <f>INDEX(Cantones!D:D,MATCH(Tabelle2[[#This Row],[Cantón]],Cantones!A:A,0))</f>
        <v>-78.855920499999996</v>
      </c>
    </row>
    <row r="69" spans="1:11">
      <c r="A69" s="4" t="s">
        <v>225</v>
      </c>
      <c r="B69" s="4" t="s">
        <v>226</v>
      </c>
      <c r="C69" s="4" t="s">
        <v>87</v>
      </c>
      <c r="D69" s="4" t="s">
        <v>97</v>
      </c>
      <c r="E69" s="4" t="s">
        <v>13</v>
      </c>
      <c r="F69" s="4" t="s">
        <v>227</v>
      </c>
      <c r="G69" s="4" t="s">
        <v>51</v>
      </c>
      <c r="H69" s="8">
        <v>6.2</v>
      </c>
      <c r="I69" s="8">
        <v>5.5</v>
      </c>
      <c r="J69">
        <f>INDEX(Cantones!C:C,MATCH(Tabelle2[[#This Row],[Cantón]],Cantones!A:A,0))</f>
        <v>-0.21549199999999999</v>
      </c>
      <c r="K69">
        <f>INDEX(Cantones!D:D,MATCH(Tabelle2[[#This Row],[Cantón]],Cantones!A:A,0))</f>
        <v>-78.501364800000005</v>
      </c>
    </row>
    <row r="70" spans="1:11">
      <c r="A70" s="4" t="s">
        <v>349</v>
      </c>
      <c r="B70" s="4" t="s">
        <v>349</v>
      </c>
      <c r="C70" s="4" t="s">
        <v>87</v>
      </c>
      <c r="D70" s="4" t="s">
        <v>350</v>
      </c>
      <c r="E70" s="4" t="s">
        <v>13</v>
      </c>
      <c r="F70" s="4" t="s">
        <v>289</v>
      </c>
      <c r="G70" s="4" t="s">
        <v>289</v>
      </c>
      <c r="H70" s="8">
        <v>1</v>
      </c>
      <c r="I70" s="8">
        <v>1</v>
      </c>
      <c r="J70">
        <f>INDEX(Cantones!C:C,MATCH(Tabelle2[[#This Row],[Cantón]],Cantones!A:A,0))</f>
        <v>-0.21499770000000001</v>
      </c>
      <c r="K70">
        <f>INDEX(Cantones!D:D,MATCH(Tabelle2[[#This Row],[Cantón]],Cantones!A:A,0))</f>
        <v>-78.496884499999993</v>
      </c>
    </row>
    <row r="71" spans="1:11">
      <c r="A71" s="6" t="s">
        <v>436</v>
      </c>
      <c r="B71" s="6" t="s">
        <v>437</v>
      </c>
      <c r="C71" s="6" t="s">
        <v>83</v>
      </c>
      <c r="D71" s="6" t="s">
        <v>84</v>
      </c>
      <c r="E71" s="6" t="s">
        <v>13</v>
      </c>
      <c r="F71" s="6" t="s">
        <v>14</v>
      </c>
      <c r="G71" s="6" t="s">
        <v>15</v>
      </c>
      <c r="H71" s="9">
        <v>0.2</v>
      </c>
      <c r="I71" s="9">
        <v>0.2</v>
      </c>
      <c r="J71">
        <f>INDEX(Cantones!C:C,MATCH(Tabelle2[[#This Row],[Cantón]],Cantones!A:A,0))</f>
        <v>0.39552340000000002</v>
      </c>
      <c r="K71">
        <f>INDEX(Cantones!D:D,MATCH(Tabelle2[[#This Row],[Cantón]],Cantones!A:A,0))</f>
        <v>-78.450701300000006</v>
      </c>
    </row>
    <row r="72" spans="1:11">
      <c r="A72" s="4" t="s">
        <v>400</v>
      </c>
      <c r="B72" s="4" t="s">
        <v>400</v>
      </c>
      <c r="C72" s="4" t="s">
        <v>50</v>
      </c>
      <c r="D72" s="33" t="s">
        <v>523</v>
      </c>
      <c r="E72" s="4" t="s">
        <v>13</v>
      </c>
      <c r="F72" s="4" t="s">
        <v>289</v>
      </c>
      <c r="G72" s="4" t="s">
        <v>289</v>
      </c>
      <c r="H72" s="8">
        <v>0.5</v>
      </c>
      <c r="I72" s="8">
        <v>0.49</v>
      </c>
      <c r="J72">
        <f>INDEX(Cantones!C:C,MATCH(Tabelle2[[#This Row],[Cantón]],Cantones!A:A,0))</f>
        <v>-0.97390969999999999</v>
      </c>
      <c r="K72">
        <f>INDEX(Cantones!D:D,MATCH(Tabelle2[[#This Row],[Cantón]],Cantones!A:A,0))</f>
        <v>-80.602084700000006</v>
      </c>
    </row>
    <row r="73" spans="1:11">
      <c r="A73" s="4" t="s">
        <v>37</v>
      </c>
      <c r="B73" s="4" t="s">
        <v>62</v>
      </c>
      <c r="C73" s="4" t="s">
        <v>26</v>
      </c>
      <c r="D73" s="4" t="s">
        <v>39</v>
      </c>
      <c r="E73" s="4" t="s">
        <v>13</v>
      </c>
      <c r="F73" s="4" t="s">
        <v>40</v>
      </c>
      <c r="G73" s="4" t="s">
        <v>47</v>
      </c>
      <c r="H73" s="8">
        <v>102</v>
      </c>
      <c r="I73" s="8">
        <v>96</v>
      </c>
      <c r="J73">
        <f>INDEX(Cantones!C:C,MATCH(Tabelle2[[#This Row],[Cantón]],Cantones!A:A,0))</f>
        <v>-2.1899066</v>
      </c>
      <c r="K73">
        <f>INDEX(Cantones!D:D,MATCH(Tabelle2[[#This Row],[Cantón]],Cantones!A:A,0))</f>
        <v>-79.887726000000001</v>
      </c>
    </row>
    <row r="74" spans="1:11">
      <c r="A74" s="6" t="s">
        <v>63</v>
      </c>
      <c r="B74" s="6" t="s">
        <v>64</v>
      </c>
      <c r="C74" s="6" t="s">
        <v>65</v>
      </c>
      <c r="D74" s="6" t="s">
        <v>65</v>
      </c>
      <c r="E74" s="6" t="s">
        <v>66</v>
      </c>
      <c r="F74" s="6" t="s">
        <v>40</v>
      </c>
      <c r="G74" s="6" t="s">
        <v>51</v>
      </c>
      <c r="H74" s="9">
        <v>119.62</v>
      </c>
      <c r="I74" s="9">
        <v>85.51</v>
      </c>
      <c r="J74">
        <f>INDEX(Cantones!C:C,MATCH(Tabelle2[[#This Row],[Cantón]],Cantones!A:A,0))</f>
        <v>-0.78617999999999999</v>
      </c>
      <c r="K74">
        <f>INDEX(Cantones!D:D,MATCH(Tabelle2[[#This Row],[Cantón]],Cantones!A:A,0))</f>
        <v>-76.480318400000002</v>
      </c>
    </row>
    <row r="75" spans="1:11">
      <c r="A75" s="6" t="s">
        <v>52</v>
      </c>
      <c r="B75" s="6" t="s">
        <v>53</v>
      </c>
      <c r="C75" s="6" t="s">
        <v>54</v>
      </c>
      <c r="D75" s="6" t="s">
        <v>54</v>
      </c>
      <c r="E75" s="6" t="s">
        <v>13</v>
      </c>
      <c r="F75" s="6" t="s">
        <v>40</v>
      </c>
      <c r="G75" s="6" t="s">
        <v>41</v>
      </c>
      <c r="H75" s="9">
        <v>132.5</v>
      </c>
      <c r="I75" s="9">
        <v>125</v>
      </c>
      <c r="J75">
        <f>INDEX(Cantones!C:C,MATCH(Tabelle2[[#This Row],[Cantón]],Cantones!A:A,0))</f>
        <v>0.73436190000000001</v>
      </c>
      <c r="K75">
        <f>INDEX(Cantones!D:D,MATCH(Tabelle2[[#This Row],[Cantón]],Cantones!A:A,0))</f>
        <v>-79.3858867</v>
      </c>
    </row>
    <row r="76" spans="1:11">
      <c r="A76" s="4" t="s">
        <v>52</v>
      </c>
      <c r="B76" s="4" t="s">
        <v>67</v>
      </c>
      <c r="C76" s="4" t="s">
        <v>54</v>
      </c>
      <c r="D76" s="4" t="s">
        <v>54</v>
      </c>
      <c r="E76" s="4" t="s">
        <v>13</v>
      </c>
      <c r="F76" s="4" t="s">
        <v>40</v>
      </c>
      <c r="G76" s="4" t="s">
        <v>51</v>
      </c>
      <c r="H76" s="8">
        <v>100.2</v>
      </c>
      <c r="I76" s="8">
        <v>84</v>
      </c>
      <c r="J76">
        <f>INDEX(Cantones!C:C,MATCH(Tabelle2[[#This Row],[Cantón]],Cantones!A:A,0))</f>
        <v>0.73436190000000001</v>
      </c>
      <c r="K76">
        <f>INDEX(Cantones!D:D,MATCH(Tabelle2[[#This Row],[Cantón]],Cantones!A:A,0))</f>
        <v>-79.3858867</v>
      </c>
    </row>
    <row r="77" spans="1:11">
      <c r="A77" s="4" t="s">
        <v>409</v>
      </c>
      <c r="B77" s="4" t="s">
        <v>410</v>
      </c>
      <c r="C77" s="4" t="s">
        <v>269</v>
      </c>
      <c r="D77" s="4" t="s">
        <v>410</v>
      </c>
      <c r="E77" s="4" t="s">
        <v>13</v>
      </c>
      <c r="F77" s="4" t="s">
        <v>14</v>
      </c>
      <c r="G77" s="4" t="s">
        <v>15</v>
      </c>
      <c r="H77" s="8">
        <v>0.44</v>
      </c>
      <c r="I77" s="8">
        <v>0.4</v>
      </c>
      <c r="J77">
        <f>INDEX(Cantones!C:C,MATCH(Tabelle2[[#This Row],[Cantón]],Cantones!A:A,0))</f>
        <v>0.65410000000000001</v>
      </c>
      <c r="K77">
        <f>INDEX(Cantones!D:D,MATCH(Tabelle2[[#This Row],[Cantón]],Cantones!A:A,0))</f>
        <v>-77.945300000000003</v>
      </c>
    </row>
    <row r="78" spans="1:11">
      <c r="A78" s="4" t="s">
        <v>394</v>
      </c>
      <c r="B78" s="4" t="s">
        <v>445</v>
      </c>
      <c r="C78" s="4" t="s">
        <v>78</v>
      </c>
      <c r="D78" s="4" t="s">
        <v>192</v>
      </c>
      <c r="E78" s="4" t="s">
        <v>66</v>
      </c>
      <c r="F78" s="4" t="s">
        <v>40</v>
      </c>
      <c r="G78" s="4" t="s">
        <v>51</v>
      </c>
      <c r="H78" s="8">
        <v>0.14000000000000001</v>
      </c>
      <c r="I78" s="8">
        <v>0.12</v>
      </c>
      <c r="J78">
        <f>INDEX(Cantones!C:C,MATCH(Tabelle2[[#This Row],[Cantón]],Cantones!A:A,0))</f>
        <v>6.6699999999999995E-2</v>
      </c>
      <c r="K78">
        <f>INDEX(Cantones!D:D,MATCH(Tabelle2[[#This Row],[Cantón]],Cantones!A:A,0))</f>
        <v>-75.933300000000003</v>
      </c>
    </row>
    <row r="79" spans="1:11">
      <c r="A79" s="4" t="s">
        <v>76</v>
      </c>
      <c r="B79" s="4" t="s">
        <v>443</v>
      </c>
      <c r="C79" s="4" t="s">
        <v>65</v>
      </c>
      <c r="D79" s="4" t="s">
        <v>65</v>
      </c>
      <c r="E79" s="4" t="s">
        <v>66</v>
      </c>
      <c r="F79" s="4" t="s">
        <v>40</v>
      </c>
      <c r="G79" s="4" t="s">
        <v>51</v>
      </c>
      <c r="H79" s="8">
        <v>0.25</v>
      </c>
      <c r="I79" s="8">
        <v>0.13</v>
      </c>
      <c r="J79">
        <f>INDEX(Cantones!C:C,MATCH(Tabelle2[[#This Row],[Cantón]],Cantones!A:A,0))</f>
        <v>-0.78617999999999999</v>
      </c>
      <c r="K79">
        <f>INDEX(Cantones!D:D,MATCH(Tabelle2[[#This Row],[Cantón]],Cantones!A:A,0))</f>
        <v>-76.480318400000002</v>
      </c>
    </row>
    <row r="80" spans="1:11">
      <c r="A80" s="4" t="s">
        <v>394</v>
      </c>
      <c r="B80" s="4" t="s">
        <v>396</v>
      </c>
      <c r="C80" s="4" t="s">
        <v>78</v>
      </c>
      <c r="D80" s="4" t="s">
        <v>134</v>
      </c>
      <c r="E80" s="4" t="s">
        <v>66</v>
      </c>
      <c r="F80" s="4" t="s">
        <v>40</v>
      </c>
      <c r="G80" s="4" t="s">
        <v>51</v>
      </c>
      <c r="H80" s="8">
        <v>0.73</v>
      </c>
      <c r="I80" s="8">
        <v>0.57999999999999996</v>
      </c>
      <c r="J80">
        <f>INDEX(Cantones!C:C,MATCH(Tabelle2[[#This Row],[Cantón]],Cantones!A:A,0))</f>
        <v>8.5400000000000004E-2</v>
      </c>
      <c r="K80">
        <f>INDEX(Cantones!D:D,MATCH(Tabelle2[[#This Row],[Cantón]],Cantones!A:A,0))</f>
        <v>-76.891499999999994</v>
      </c>
    </row>
    <row r="81" spans="1:11">
      <c r="A81" s="6" t="s">
        <v>394</v>
      </c>
      <c r="B81" s="6" t="s">
        <v>438</v>
      </c>
      <c r="C81" s="6" t="s">
        <v>78</v>
      </c>
      <c r="D81" s="6" t="s">
        <v>192</v>
      </c>
      <c r="E81" s="6" t="s">
        <v>66</v>
      </c>
      <c r="F81" s="6" t="s">
        <v>40</v>
      </c>
      <c r="G81" s="6" t="s">
        <v>51</v>
      </c>
      <c r="H81" s="9">
        <v>0.18</v>
      </c>
      <c r="I81" s="9">
        <v>0.17</v>
      </c>
      <c r="J81">
        <f>INDEX(Cantones!C:C,MATCH(Tabelle2[[#This Row],[Cantón]],Cantones!A:A,0))</f>
        <v>6.6699999999999995E-2</v>
      </c>
      <c r="K81">
        <f>INDEX(Cantones!D:D,MATCH(Tabelle2[[#This Row],[Cantón]],Cantones!A:A,0))</f>
        <v>-75.933300000000003</v>
      </c>
    </row>
    <row r="82" spans="1:11">
      <c r="A82" s="4" t="s">
        <v>309</v>
      </c>
      <c r="B82" s="4" t="s">
        <v>427</v>
      </c>
      <c r="C82" s="4" t="s">
        <v>78</v>
      </c>
      <c r="D82" s="4" t="s">
        <v>311</v>
      </c>
      <c r="E82" s="4" t="s">
        <v>66</v>
      </c>
      <c r="F82" s="4" t="s">
        <v>40</v>
      </c>
      <c r="G82" s="4" t="s">
        <v>51</v>
      </c>
      <c r="H82" s="8">
        <v>0.36</v>
      </c>
      <c r="I82" s="8">
        <v>0.28999999999999998</v>
      </c>
      <c r="J82">
        <f>INDEX(Cantones!C:C,MATCH(Tabelle2[[#This Row],[Cantón]],Cantones!A:A,0))</f>
        <v>8.0699999999999994E-2</v>
      </c>
      <c r="K82">
        <f>INDEX(Cantones!D:D,MATCH(Tabelle2[[#This Row],[Cantón]],Cantones!A:A,0))</f>
        <v>-77.564899999999994</v>
      </c>
    </row>
    <row r="83" spans="1:11">
      <c r="A83" s="6" t="s">
        <v>394</v>
      </c>
      <c r="B83" s="6" t="s">
        <v>395</v>
      </c>
      <c r="C83" s="6" t="s">
        <v>78</v>
      </c>
      <c r="D83" s="6" t="s">
        <v>192</v>
      </c>
      <c r="E83" s="6" t="s">
        <v>66</v>
      </c>
      <c r="F83" s="6" t="s">
        <v>40</v>
      </c>
      <c r="G83" s="6" t="s">
        <v>51</v>
      </c>
      <c r="H83" s="9">
        <v>0.77</v>
      </c>
      <c r="I83" s="9">
        <v>0.61</v>
      </c>
      <c r="J83">
        <f>INDEX(Cantones!C:C,MATCH(Tabelle2[[#This Row],[Cantón]],Cantones!A:A,0))</f>
        <v>6.6699999999999995E-2</v>
      </c>
      <c r="K83">
        <f>INDEX(Cantones!D:D,MATCH(Tabelle2[[#This Row],[Cantón]],Cantones!A:A,0))</f>
        <v>-75.933300000000003</v>
      </c>
    </row>
    <row r="84" spans="1:11">
      <c r="A84" s="6" t="s">
        <v>394</v>
      </c>
      <c r="B84" s="6" t="s">
        <v>401</v>
      </c>
      <c r="C84" s="6" t="s">
        <v>78</v>
      </c>
      <c r="D84" s="6" t="s">
        <v>192</v>
      </c>
      <c r="E84" s="6" t="s">
        <v>66</v>
      </c>
      <c r="F84" s="6" t="s">
        <v>40</v>
      </c>
      <c r="G84" s="6" t="s">
        <v>51</v>
      </c>
      <c r="H84" s="9">
        <v>0.57999999999999996</v>
      </c>
      <c r="I84" s="9">
        <v>0.46</v>
      </c>
      <c r="J84">
        <f>INDEX(Cantones!C:C,MATCH(Tabelle2[[#This Row],[Cantón]],Cantones!A:A,0))</f>
        <v>6.6699999999999995E-2</v>
      </c>
      <c r="K84">
        <f>INDEX(Cantones!D:D,MATCH(Tabelle2[[#This Row],[Cantón]],Cantones!A:A,0))</f>
        <v>-75.933300000000003</v>
      </c>
    </row>
    <row r="85" spans="1:11">
      <c r="A85" s="4" t="s">
        <v>309</v>
      </c>
      <c r="B85" s="4" t="s">
        <v>386</v>
      </c>
      <c r="C85" s="4" t="s">
        <v>78</v>
      </c>
      <c r="D85" s="4" t="s">
        <v>311</v>
      </c>
      <c r="E85" s="4" t="s">
        <v>66</v>
      </c>
      <c r="F85" s="4" t="s">
        <v>40</v>
      </c>
      <c r="G85" s="4" t="s">
        <v>51</v>
      </c>
      <c r="H85" s="8">
        <v>0.91</v>
      </c>
      <c r="I85" s="8">
        <v>0.72</v>
      </c>
      <c r="J85">
        <f>INDEX(Cantones!C:C,MATCH(Tabelle2[[#This Row],[Cantón]],Cantones!A:A,0))</f>
        <v>8.0699999999999994E-2</v>
      </c>
      <c r="K85">
        <f>INDEX(Cantones!D:D,MATCH(Tabelle2[[#This Row],[Cantón]],Cantones!A:A,0))</f>
        <v>-77.564899999999994</v>
      </c>
    </row>
    <row r="86" spans="1:11">
      <c r="A86" s="6" t="s">
        <v>394</v>
      </c>
      <c r="B86" s="6" t="s">
        <v>434</v>
      </c>
      <c r="C86" s="6" t="s">
        <v>78</v>
      </c>
      <c r="D86" s="6" t="s">
        <v>134</v>
      </c>
      <c r="E86" s="6" t="s">
        <v>66</v>
      </c>
      <c r="F86" s="6" t="s">
        <v>40</v>
      </c>
      <c r="G86" s="6" t="s">
        <v>51</v>
      </c>
      <c r="H86" s="9">
        <v>0.28000000000000003</v>
      </c>
      <c r="I86" s="9">
        <v>0.22</v>
      </c>
      <c r="J86">
        <f>INDEX(Cantones!C:C,MATCH(Tabelle2[[#This Row],[Cantón]],Cantones!A:A,0))</f>
        <v>8.5400000000000004E-2</v>
      </c>
      <c r="K86">
        <f>INDEX(Cantones!D:D,MATCH(Tabelle2[[#This Row],[Cantón]],Cantones!A:A,0))</f>
        <v>-76.891499999999994</v>
      </c>
    </row>
    <row r="87" spans="1:11">
      <c r="A87" s="4" t="s">
        <v>309</v>
      </c>
      <c r="B87" s="4" t="s">
        <v>324</v>
      </c>
      <c r="C87" s="4" t="s">
        <v>78</v>
      </c>
      <c r="D87" s="4" t="s">
        <v>311</v>
      </c>
      <c r="E87" s="4" t="s">
        <v>66</v>
      </c>
      <c r="F87" s="4" t="s">
        <v>40</v>
      </c>
      <c r="G87" s="4" t="s">
        <v>51</v>
      </c>
      <c r="H87" s="8">
        <v>1.44</v>
      </c>
      <c r="I87" s="8">
        <v>1.1499999999999999</v>
      </c>
      <c r="J87">
        <f>INDEX(Cantones!C:C,MATCH(Tabelle2[[#This Row],[Cantón]],Cantones!A:A,0))</f>
        <v>8.0699999999999994E-2</v>
      </c>
      <c r="K87">
        <f>INDEX(Cantones!D:D,MATCH(Tabelle2[[#This Row],[Cantón]],Cantones!A:A,0))</f>
        <v>-77.564899999999994</v>
      </c>
    </row>
    <row r="88" spans="1:11">
      <c r="A88" s="4" t="s">
        <v>392</v>
      </c>
      <c r="B88" s="4" t="s">
        <v>393</v>
      </c>
      <c r="C88" s="4" t="s">
        <v>83</v>
      </c>
      <c r="D88" s="4" t="s">
        <v>204</v>
      </c>
      <c r="E88" s="4" t="s">
        <v>13</v>
      </c>
      <c r="F88" s="4" t="s">
        <v>14</v>
      </c>
      <c r="G88" s="4" t="s">
        <v>15</v>
      </c>
      <c r="H88" s="8">
        <v>0.79</v>
      </c>
      <c r="I88" s="8">
        <v>0.61</v>
      </c>
      <c r="J88">
        <f>INDEX(Cantones!C:C,MATCH(Tabelle2[[#This Row],[Cantón]],Cantones!A:A,0))</f>
        <v>0.3327</v>
      </c>
      <c r="K88">
        <f>INDEX(Cantones!D:D,MATCH(Tabelle2[[#This Row],[Cantón]],Cantones!A:A,0))</f>
        <v>-78.216700000000003</v>
      </c>
    </row>
    <row r="89" spans="1:11">
      <c r="A89" s="6" t="s">
        <v>76</v>
      </c>
      <c r="B89" s="6" t="s">
        <v>397</v>
      </c>
      <c r="C89" s="6" t="s">
        <v>78</v>
      </c>
      <c r="D89" s="6" t="s">
        <v>79</v>
      </c>
      <c r="E89" s="6" t="s">
        <v>66</v>
      </c>
      <c r="F89" s="6" t="s">
        <v>40</v>
      </c>
      <c r="G89" s="6" t="s">
        <v>51</v>
      </c>
      <c r="H89" s="9">
        <v>0.7</v>
      </c>
      <c r="I89" s="9">
        <v>0.5</v>
      </c>
      <c r="J89">
        <f>INDEX(Cantones!C:C,MATCH(Tabelle2[[#This Row],[Cantón]],Cantones!A:A,0))</f>
        <v>-0.26551140000000001</v>
      </c>
      <c r="K89">
        <f>INDEX(Cantones!D:D,MATCH(Tabelle2[[#This Row],[Cantón]],Cantones!A:A,0))</f>
        <v>-75.892069199999995</v>
      </c>
    </row>
    <row r="90" spans="1:11">
      <c r="A90" s="6" t="s">
        <v>68</v>
      </c>
      <c r="B90" s="6" t="s">
        <v>432</v>
      </c>
      <c r="C90" s="6" t="s">
        <v>170</v>
      </c>
      <c r="D90" s="6" t="s">
        <v>221</v>
      </c>
      <c r="E90" s="6" t="s">
        <v>66</v>
      </c>
      <c r="F90" s="6" t="s">
        <v>40</v>
      </c>
      <c r="G90" s="6" t="s">
        <v>51</v>
      </c>
      <c r="H90" s="9">
        <v>0.28999999999999998</v>
      </c>
      <c r="I90" s="9">
        <v>0.24</v>
      </c>
      <c r="J90">
        <f>INDEX(Cantones!C:C,MATCH(Tabelle2[[#This Row],[Cantón]],Cantones!A:A,0))</f>
        <v>-0.91512260000000001</v>
      </c>
      <c r="K90">
        <f>INDEX(Cantones!D:D,MATCH(Tabelle2[[#This Row],[Cantón]],Cantones!A:A,0))</f>
        <v>-89.566295499999995</v>
      </c>
    </row>
    <row r="91" spans="1:11">
      <c r="A91" s="31" t="s">
        <v>275</v>
      </c>
      <c r="B91" s="31" t="s">
        <v>453</v>
      </c>
      <c r="C91" s="6" t="s">
        <v>170</v>
      </c>
      <c r="D91" s="31" t="s">
        <v>221</v>
      </c>
      <c r="E91" s="6" t="s">
        <v>66</v>
      </c>
      <c r="F91" s="6" t="s">
        <v>289</v>
      </c>
      <c r="G91" s="31" t="s">
        <v>289</v>
      </c>
      <c r="H91" s="32">
        <v>0.02</v>
      </c>
      <c r="I91" s="9">
        <v>0.02</v>
      </c>
      <c r="J91">
        <f>INDEX(Cantones!C:C,MATCH(Tabelle2[[#This Row],[Cantón]],Cantones!A:A,0))</f>
        <v>-0.91512260000000001</v>
      </c>
      <c r="K91">
        <f>INDEX(Cantones!D:D,MATCH(Tabelle2[[#This Row],[Cantón]],Cantones!A:A,0))</f>
        <v>-89.566295499999995</v>
      </c>
    </row>
    <row r="92" spans="1:11" ht="23">
      <c r="A92" s="31" t="s">
        <v>275</v>
      </c>
      <c r="B92" s="31" t="s">
        <v>457</v>
      </c>
      <c r="C92" s="6" t="s">
        <v>170</v>
      </c>
      <c r="D92" s="31" t="s">
        <v>221</v>
      </c>
      <c r="E92" s="6" t="s">
        <v>66</v>
      </c>
      <c r="F92" s="6" t="s">
        <v>289</v>
      </c>
      <c r="G92" s="31" t="s">
        <v>289</v>
      </c>
      <c r="H92" s="32">
        <v>0.01</v>
      </c>
      <c r="I92" s="9">
        <v>0.01</v>
      </c>
      <c r="J92">
        <f>INDEX(Cantones!C:C,MATCH(Tabelle2[[#This Row],[Cantón]],Cantones!A:A,0))</f>
        <v>-0.91512260000000001</v>
      </c>
      <c r="K92">
        <f>INDEX(Cantones!D:D,MATCH(Tabelle2[[#This Row],[Cantón]],Cantones!A:A,0))</f>
        <v>-89.566295499999995</v>
      </c>
    </row>
    <row r="93" spans="1:11">
      <c r="A93" s="4" t="s">
        <v>63</v>
      </c>
      <c r="B93" s="4" t="s">
        <v>298</v>
      </c>
      <c r="C93" s="4" t="s">
        <v>78</v>
      </c>
      <c r="D93" s="4" t="s">
        <v>134</v>
      </c>
      <c r="E93" s="4" t="s">
        <v>66</v>
      </c>
      <c r="F93" s="4" t="s">
        <v>40</v>
      </c>
      <c r="G93" s="4" t="s">
        <v>51</v>
      </c>
      <c r="H93" s="8">
        <v>2.46</v>
      </c>
      <c r="I93" s="8">
        <v>1.76</v>
      </c>
      <c r="J93">
        <f>INDEX(Cantones!C:C,MATCH(Tabelle2[[#This Row],[Cantón]],Cantones!A:A,0))</f>
        <v>8.5400000000000004E-2</v>
      </c>
      <c r="K93">
        <f>INDEX(Cantones!D:D,MATCH(Tabelle2[[#This Row],[Cantón]],Cantones!A:A,0))</f>
        <v>-76.891499999999994</v>
      </c>
    </row>
    <row r="94" spans="1:11">
      <c r="A94" s="4" t="s">
        <v>63</v>
      </c>
      <c r="B94" s="4" t="s">
        <v>251</v>
      </c>
      <c r="C94" s="4" t="s">
        <v>65</v>
      </c>
      <c r="D94" s="4" t="s">
        <v>65</v>
      </c>
      <c r="E94" s="4" t="s">
        <v>66</v>
      </c>
      <c r="F94" s="4" t="s">
        <v>40</v>
      </c>
      <c r="G94" s="4" t="s">
        <v>51</v>
      </c>
      <c r="H94" s="8">
        <v>5.26</v>
      </c>
      <c r="I94" s="8">
        <v>3.82</v>
      </c>
      <c r="J94">
        <f>INDEX(Cantones!C:C,MATCH(Tabelle2[[#This Row],[Cantón]],Cantones!A:A,0))</f>
        <v>-0.78617999999999999</v>
      </c>
      <c r="K94">
        <f>INDEX(Cantones!D:D,MATCH(Tabelle2[[#This Row],[Cantón]],Cantones!A:A,0))</f>
        <v>-76.480318400000002</v>
      </c>
    </row>
    <row r="95" spans="1:11">
      <c r="A95" s="4" t="s">
        <v>120</v>
      </c>
      <c r="B95" s="4" t="s">
        <v>120</v>
      </c>
      <c r="C95" s="4" t="s">
        <v>26</v>
      </c>
      <c r="D95" s="4" t="s">
        <v>39</v>
      </c>
      <c r="E95" s="4" t="s">
        <v>13</v>
      </c>
      <c r="F95" s="4" t="s">
        <v>40</v>
      </c>
      <c r="G95" s="4" t="s">
        <v>51</v>
      </c>
      <c r="H95" s="8">
        <v>38.119999999999997</v>
      </c>
      <c r="I95" s="8">
        <v>34.4</v>
      </c>
      <c r="J95">
        <f>INDEX(Cantones!C:C,MATCH(Tabelle2[[#This Row],[Cantón]],Cantones!A:A,0))</f>
        <v>-2.1899066</v>
      </c>
      <c r="K95">
        <f>INDEX(Cantones!D:D,MATCH(Tabelle2[[#This Row],[Cantón]],Cantones!A:A,0))</f>
        <v>-79.887726000000001</v>
      </c>
    </row>
    <row r="96" spans="1:11">
      <c r="A96" s="22" t="s">
        <v>361</v>
      </c>
      <c r="B96" s="6" t="s">
        <v>361</v>
      </c>
      <c r="C96" s="6" t="s">
        <v>26</v>
      </c>
      <c r="D96" s="6" t="s">
        <v>39</v>
      </c>
      <c r="E96" s="6" t="s">
        <v>13</v>
      </c>
      <c r="F96" s="6" t="s">
        <v>289</v>
      </c>
      <c r="G96" s="6" t="s">
        <v>289</v>
      </c>
      <c r="H96" s="9">
        <v>0.99</v>
      </c>
      <c r="I96" s="9">
        <v>0.99</v>
      </c>
      <c r="J96">
        <f>INDEX(Cantones!C:C,MATCH(Tabelle2[[#This Row],[Cantón]],Cantones!A:A,0))</f>
        <v>-2.1899066</v>
      </c>
      <c r="K96">
        <f>INDEX(Cantones!D:D,MATCH(Tabelle2[[#This Row],[Cantón]],Cantones!A:A,0))</f>
        <v>-79.887726000000001</v>
      </c>
    </row>
    <row r="97" spans="1:11">
      <c r="A97" s="6" t="s">
        <v>304</v>
      </c>
      <c r="B97" s="6" t="s">
        <v>305</v>
      </c>
      <c r="C97" s="6" t="s">
        <v>87</v>
      </c>
      <c r="D97" s="6" t="s">
        <v>306</v>
      </c>
      <c r="E97" s="6" t="s">
        <v>13</v>
      </c>
      <c r="F97" s="6" t="s">
        <v>14</v>
      </c>
      <c r="G97" s="6" t="s">
        <v>15</v>
      </c>
      <c r="H97" s="9">
        <v>1.65</v>
      </c>
      <c r="I97" s="9">
        <v>1.65</v>
      </c>
      <c r="J97">
        <f>INDEX(Cantones!C:C,MATCH(Tabelle2[[#This Row],[Cantón]],Cantones!A:A,0))</f>
        <v>-3.8812999999999999E-3</v>
      </c>
      <c r="K97">
        <f>INDEX(Cantones!D:D,MATCH(Tabelle2[[#This Row],[Cantón]],Cantones!A:A,0))</f>
        <v>-78.048180099999996</v>
      </c>
    </row>
    <row r="98" spans="1:11" ht="23">
      <c r="A98" s="17" t="s">
        <v>37</v>
      </c>
      <c r="B98" s="6" t="s">
        <v>144</v>
      </c>
      <c r="C98" s="6" t="s">
        <v>26</v>
      </c>
      <c r="D98" s="6" t="s">
        <v>39</v>
      </c>
      <c r="E98" s="6" t="s">
        <v>13</v>
      </c>
      <c r="F98" s="6" t="s">
        <v>40</v>
      </c>
      <c r="G98" s="6" t="s">
        <v>47</v>
      </c>
      <c r="H98" s="9">
        <v>26.27</v>
      </c>
      <c r="I98" s="9">
        <v>20</v>
      </c>
      <c r="J98">
        <f>INDEX(Cantones!C:C,MATCH(Tabelle2[[#This Row],[Cantón]],Cantones!A:A,0))</f>
        <v>-2.1899066</v>
      </c>
      <c r="K98">
        <f>INDEX(Cantones!D:D,MATCH(Tabelle2[[#This Row],[Cantón]],Cantones!A:A,0))</f>
        <v>-79.887726000000001</v>
      </c>
    </row>
    <row r="99" spans="1:11" ht="23">
      <c r="A99" s="6" t="s">
        <v>37</v>
      </c>
      <c r="B99" s="6" t="s">
        <v>38</v>
      </c>
      <c r="C99" s="6" t="s">
        <v>26</v>
      </c>
      <c r="D99" s="6" t="s">
        <v>39</v>
      </c>
      <c r="E99" s="6" t="s">
        <v>13</v>
      </c>
      <c r="F99" s="6" t="s">
        <v>40</v>
      </c>
      <c r="G99" s="6" t="s">
        <v>41</v>
      </c>
      <c r="H99" s="9">
        <v>146</v>
      </c>
      <c r="I99" s="9">
        <v>140</v>
      </c>
      <c r="J99">
        <f>INDEX(Cantones!C:C,MATCH(Tabelle2[[#This Row],[Cantón]],Cantones!A:A,0))</f>
        <v>-2.1899066</v>
      </c>
      <c r="K99">
        <f>INDEX(Cantones!D:D,MATCH(Tabelle2[[#This Row],[Cantón]],Cantones!A:A,0))</f>
        <v>-79.887726000000001</v>
      </c>
    </row>
    <row r="100" spans="1:11">
      <c r="A100" s="4" t="s">
        <v>342</v>
      </c>
      <c r="B100" s="4" t="s">
        <v>342</v>
      </c>
      <c r="C100" s="4" t="s">
        <v>155</v>
      </c>
      <c r="D100" s="4" t="s">
        <v>343</v>
      </c>
      <c r="E100" s="4" t="s">
        <v>13</v>
      </c>
      <c r="F100" s="4" t="s">
        <v>289</v>
      </c>
      <c r="G100" s="4" t="s">
        <v>289</v>
      </c>
      <c r="H100" s="8">
        <v>1</v>
      </c>
      <c r="I100" s="8">
        <v>1</v>
      </c>
      <c r="J100">
        <f>INDEX(Cantones!C:C,MATCH(Tabelle2[[#This Row],[Cantón]],Cantones!A:A,0))</f>
        <v>-4.2302999999999997</v>
      </c>
      <c r="K100">
        <f>INDEX(Cantones!D:D,MATCH(Tabelle2[[#This Row],[Cantón]],Cantones!A:A,0))</f>
        <v>-79.436599999999999</v>
      </c>
    </row>
    <row r="101" spans="1:11">
      <c r="A101" s="4" t="s">
        <v>135</v>
      </c>
      <c r="B101" s="4" t="s">
        <v>366</v>
      </c>
      <c r="C101" s="4" t="s">
        <v>18</v>
      </c>
      <c r="D101" s="4" t="s">
        <v>366</v>
      </c>
      <c r="E101" s="4" t="s">
        <v>13</v>
      </c>
      <c r="F101" s="4" t="s">
        <v>14</v>
      </c>
      <c r="G101" s="4" t="s">
        <v>15</v>
      </c>
      <c r="H101" s="8">
        <v>0.97</v>
      </c>
      <c r="I101" s="8">
        <v>0.97</v>
      </c>
      <c r="J101">
        <f>INDEX(Cantones!C:C,MATCH(Tabelle2[[#This Row],[Cantón]],Cantones!A:A,0))</f>
        <v>-2.9179485999999999</v>
      </c>
      <c r="K101">
        <f>INDEX(Cantones!D:D,MATCH(Tabelle2[[#This Row],[Cantón]],Cantones!A:A,0))</f>
        <v>-78.846187999999998</v>
      </c>
    </row>
    <row r="102" spans="1:11">
      <c r="A102" s="14" t="s">
        <v>106</v>
      </c>
      <c r="B102" s="6" t="s">
        <v>124</v>
      </c>
      <c r="C102" s="6" t="s">
        <v>87</v>
      </c>
      <c r="D102" s="6" t="s">
        <v>97</v>
      </c>
      <c r="E102" s="6" t="s">
        <v>13</v>
      </c>
      <c r="F102" s="6" t="s">
        <v>40</v>
      </c>
      <c r="G102" s="6" t="s">
        <v>51</v>
      </c>
      <c r="H102" s="9">
        <v>34.32</v>
      </c>
      <c r="I102" s="9">
        <v>31.2</v>
      </c>
      <c r="J102">
        <f>INDEX(Cantones!C:C,MATCH(Tabelle2[[#This Row],[Cantón]],Cantones!A:A,0))</f>
        <v>-0.21549199999999999</v>
      </c>
      <c r="K102">
        <f>INDEX(Cantones!D:D,MATCH(Tabelle2[[#This Row],[Cantón]],Cantones!A:A,0))</f>
        <v>-78.501364800000005</v>
      </c>
    </row>
    <row r="103" spans="1:11">
      <c r="A103" s="10" t="s">
        <v>68</v>
      </c>
      <c r="B103" s="42" t="s">
        <v>557</v>
      </c>
      <c r="C103" s="4" t="s">
        <v>87</v>
      </c>
      <c r="D103" s="4" t="s">
        <v>97</v>
      </c>
      <c r="E103" s="4" t="s">
        <v>13</v>
      </c>
      <c r="F103" s="4" t="s">
        <v>40</v>
      </c>
      <c r="G103" s="4" t="s">
        <v>51</v>
      </c>
      <c r="H103" s="8">
        <v>22.5</v>
      </c>
      <c r="I103" s="8">
        <v>21.8</v>
      </c>
      <c r="J103">
        <f>INDEX(Cantones!C:C,MATCH(Tabelle2[[#This Row],[Cantón]],Cantones!A:A,0))</f>
        <v>-0.21549199999999999</v>
      </c>
      <c r="K103">
        <f>INDEX(Cantones!D:D,MATCH(Tabelle2[[#This Row],[Cantón]],Cantones!A:A,0))</f>
        <v>-78.501364800000005</v>
      </c>
    </row>
    <row r="104" spans="1:11">
      <c r="A104" s="14" t="s">
        <v>106</v>
      </c>
      <c r="B104" s="43" t="s">
        <v>558</v>
      </c>
      <c r="C104" s="6" t="s">
        <v>87</v>
      </c>
      <c r="D104" s="6" t="s">
        <v>97</v>
      </c>
      <c r="E104" s="6" t="s">
        <v>13</v>
      </c>
      <c r="F104" s="6" t="s">
        <v>14</v>
      </c>
      <c r="G104" s="6" t="s">
        <v>15</v>
      </c>
      <c r="H104" s="9">
        <v>20.92</v>
      </c>
      <c r="I104" s="9">
        <v>20.92</v>
      </c>
      <c r="J104">
        <f>INDEX(Cantones!C:C,MATCH(Tabelle2[[#This Row],[Cantón]],Cantones!A:A,0))</f>
        <v>-0.21549199999999999</v>
      </c>
      <c r="K104">
        <f>INDEX(Cantones!D:D,MATCH(Tabelle2[[#This Row],[Cantón]],Cantones!A:A,0))</f>
        <v>-78.501364800000005</v>
      </c>
    </row>
    <row r="105" spans="1:11">
      <c r="A105" s="10" t="s">
        <v>68</v>
      </c>
      <c r="B105" s="4" t="s">
        <v>96</v>
      </c>
      <c r="C105" s="4" t="s">
        <v>87</v>
      </c>
      <c r="D105" s="4" t="s">
        <v>97</v>
      </c>
      <c r="E105" s="4" t="s">
        <v>13</v>
      </c>
      <c r="F105" s="4" t="s">
        <v>40</v>
      </c>
      <c r="G105" s="4" t="s">
        <v>51</v>
      </c>
      <c r="H105" s="8">
        <v>52.2</v>
      </c>
      <c r="I105" s="8">
        <v>48</v>
      </c>
      <c r="J105">
        <f>INDEX(Cantones!C:C,MATCH(Tabelle2[[#This Row],[Cantón]],Cantones!A:A,0))</f>
        <v>-0.21549199999999999</v>
      </c>
      <c r="K105">
        <f>INDEX(Cantones!D:D,MATCH(Tabelle2[[#This Row],[Cantón]],Cantones!A:A,0))</f>
        <v>-78.501364800000005</v>
      </c>
    </row>
    <row r="106" spans="1:11">
      <c r="A106" s="4" t="s">
        <v>63</v>
      </c>
      <c r="B106" s="4" t="s">
        <v>189</v>
      </c>
      <c r="C106" s="4" t="s">
        <v>78</v>
      </c>
      <c r="D106" s="4" t="s">
        <v>134</v>
      </c>
      <c r="E106" s="4" t="s">
        <v>66</v>
      </c>
      <c r="F106" s="4" t="s">
        <v>40</v>
      </c>
      <c r="G106" s="4" t="s">
        <v>51</v>
      </c>
      <c r="H106" s="8">
        <v>12.41</v>
      </c>
      <c r="I106" s="8">
        <v>9.77</v>
      </c>
      <c r="J106">
        <f>INDEX(Cantones!C:C,MATCH(Tabelle2[[#This Row],[Cantón]],Cantones!A:A,0))</f>
        <v>8.5400000000000004E-2</v>
      </c>
      <c r="K106">
        <f>INDEX(Cantones!D:D,MATCH(Tabelle2[[#This Row],[Cantón]],Cantones!A:A,0))</f>
        <v>-76.891499999999994</v>
      </c>
    </row>
    <row r="107" spans="1:11">
      <c r="A107" s="22" t="s">
        <v>370</v>
      </c>
      <c r="B107" s="6" t="s">
        <v>371</v>
      </c>
      <c r="C107" s="6" t="s">
        <v>83</v>
      </c>
      <c r="D107" s="6" t="s">
        <v>288</v>
      </c>
      <c r="E107" s="6" t="s">
        <v>13</v>
      </c>
      <c r="F107" s="6" t="s">
        <v>14</v>
      </c>
      <c r="G107" s="6" t="s">
        <v>15</v>
      </c>
      <c r="H107" s="9">
        <v>0.92</v>
      </c>
      <c r="I107" s="9">
        <v>0.88</v>
      </c>
      <c r="J107">
        <f>INDEX(Cantones!C:C,MATCH(Tabelle2[[#This Row],[Cantón]],Cantones!A:A,0))</f>
        <v>0.34784209999999999</v>
      </c>
      <c r="K107">
        <f>INDEX(Cantones!D:D,MATCH(Tabelle2[[#This Row],[Cantón]],Cantones!A:A,0))</f>
        <v>-78.117358800000005</v>
      </c>
    </row>
    <row r="108" spans="1:11">
      <c r="A108" s="11" t="s">
        <v>88</v>
      </c>
      <c r="B108" s="6" t="s">
        <v>88</v>
      </c>
      <c r="C108" s="6" t="s">
        <v>89</v>
      </c>
      <c r="D108" s="6" t="s">
        <v>90</v>
      </c>
      <c r="E108" s="6" t="s">
        <v>13</v>
      </c>
      <c r="F108" s="6" t="s">
        <v>14</v>
      </c>
      <c r="G108" s="6" t="s">
        <v>15</v>
      </c>
      <c r="H108" s="9">
        <v>49.98</v>
      </c>
      <c r="I108" s="9">
        <v>49.95</v>
      </c>
      <c r="J108">
        <f>INDEX(Cantones!C:C,MATCH(Tabelle2[[#This Row],[Cantón]],Cantones!A:A,0))</f>
        <v>-3.7939048999999998</v>
      </c>
      <c r="K108">
        <f>INDEX(Cantones!D:D,MATCH(Tabelle2[[#This Row],[Cantón]],Cantones!A:A,0))</f>
        <v>-79.281772099999998</v>
      </c>
    </row>
    <row r="109" spans="1:11">
      <c r="A109" s="4" t="s">
        <v>199</v>
      </c>
      <c r="B109" s="4" t="s">
        <v>199</v>
      </c>
      <c r="C109" s="4" t="s">
        <v>200</v>
      </c>
      <c r="D109" s="4" t="s">
        <v>201</v>
      </c>
      <c r="E109" s="4" t="s">
        <v>13</v>
      </c>
      <c r="F109" s="4" t="s">
        <v>14</v>
      </c>
      <c r="G109" s="4" t="s">
        <v>15</v>
      </c>
      <c r="H109" s="8">
        <v>8</v>
      </c>
      <c r="I109" s="8">
        <v>8</v>
      </c>
      <c r="J109">
        <f>INDEX(Cantones!C:C,MATCH(Tabelle2[[#This Row],[Cantón]],Cantones!A:A,0))</f>
        <v>-1.9432708000000001</v>
      </c>
      <c r="K109">
        <f>INDEX(Cantones!D:D,MATCH(Tabelle2[[#This Row],[Cantón]],Cantones!A:A,0))</f>
        <v>-79.066069499999998</v>
      </c>
    </row>
    <row r="110" spans="1:11">
      <c r="A110" s="23" t="s">
        <v>76</v>
      </c>
      <c r="B110" s="4" t="s">
        <v>378</v>
      </c>
      <c r="C110" s="4" t="s">
        <v>65</v>
      </c>
      <c r="D110" s="4" t="s">
        <v>65</v>
      </c>
      <c r="E110" s="4" t="s">
        <v>66</v>
      </c>
      <c r="F110" s="4" t="s">
        <v>40</v>
      </c>
      <c r="G110" s="4" t="s">
        <v>51</v>
      </c>
      <c r="H110" s="8">
        <v>1.07</v>
      </c>
      <c r="I110" s="8">
        <v>0.77</v>
      </c>
      <c r="J110">
        <f>INDEX(Cantones!C:C,MATCH(Tabelle2[[#This Row],[Cantón]],Cantones!A:A,0))</f>
        <v>-0.78617999999999999</v>
      </c>
      <c r="K110">
        <f>INDEX(Cantones!D:D,MATCH(Tabelle2[[#This Row],[Cantón]],Cantones!A:A,0))</f>
        <v>-76.480318400000002</v>
      </c>
    </row>
    <row r="111" spans="1:11">
      <c r="A111" s="22" t="s">
        <v>76</v>
      </c>
      <c r="B111" s="6" t="s">
        <v>373</v>
      </c>
      <c r="C111" s="6" t="s">
        <v>65</v>
      </c>
      <c r="D111" s="6" t="s">
        <v>65</v>
      </c>
      <c r="E111" s="6" t="s">
        <v>66</v>
      </c>
      <c r="F111" s="6" t="s">
        <v>40</v>
      </c>
      <c r="G111" s="6" t="s">
        <v>51</v>
      </c>
      <c r="H111" s="9">
        <v>1.18</v>
      </c>
      <c r="I111" s="9">
        <v>0.83</v>
      </c>
      <c r="J111">
        <f>INDEX(Cantones!C:C,MATCH(Tabelle2[[#This Row],[Cantón]],Cantones!A:A,0))</f>
        <v>-0.78617999999999999</v>
      </c>
      <c r="K111">
        <f>INDEX(Cantones!D:D,MATCH(Tabelle2[[#This Row],[Cantón]],Cantones!A:A,0))</f>
        <v>-76.480318400000002</v>
      </c>
    </row>
    <row r="112" spans="1:11">
      <c r="A112" s="4" t="s">
        <v>76</v>
      </c>
      <c r="B112" s="4" t="s">
        <v>205</v>
      </c>
      <c r="C112" s="4" t="s">
        <v>65</v>
      </c>
      <c r="D112" s="4" t="s">
        <v>65</v>
      </c>
      <c r="E112" s="4" t="s">
        <v>66</v>
      </c>
      <c r="F112" s="4" t="s">
        <v>40</v>
      </c>
      <c r="G112" s="4" t="s">
        <v>51</v>
      </c>
      <c r="H112" s="8">
        <v>9.61</v>
      </c>
      <c r="I112" s="8">
        <v>7.85</v>
      </c>
      <c r="J112">
        <f>INDEX(Cantones!C:C,MATCH(Tabelle2[[#This Row],[Cantón]],Cantones!A:A,0))</f>
        <v>-0.78617999999999999</v>
      </c>
      <c r="K112">
        <f>INDEX(Cantones!D:D,MATCH(Tabelle2[[#This Row],[Cantón]],Cantones!A:A,0))</f>
        <v>-76.480318400000002</v>
      </c>
    </row>
    <row r="113" spans="1:11">
      <c r="A113" s="4" t="s">
        <v>76</v>
      </c>
      <c r="B113" s="4" t="s">
        <v>261</v>
      </c>
      <c r="C113" s="4" t="s">
        <v>65</v>
      </c>
      <c r="D113" s="4" t="s">
        <v>65</v>
      </c>
      <c r="E113" s="4" t="s">
        <v>66</v>
      </c>
      <c r="F113" s="4" t="s">
        <v>40</v>
      </c>
      <c r="G113" s="4" t="s">
        <v>51</v>
      </c>
      <c r="H113" s="8">
        <v>3.73</v>
      </c>
      <c r="I113" s="8">
        <v>3</v>
      </c>
      <c r="J113">
        <f>INDEX(Cantones!C:C,MATCH(Tabelle2[[#This Row],[Cantón]],Cantones!A:A,0))</f>
        <v>-0.78617999999999999</v>
      </c>
      <c r="K113">
        <f>INDEX(Cantones!D:D,MATCH(Tabelle2[[#This Row],[Cantón]],Cantones!A:A,0))</f>
        <v>-76.480318400000002</v>
      </c>
    </row>
    <row r="114" spans="1:11">
      <c r="A114" s="6" t="s">
        <v>76</v>
      </c>
      <c r="B114" s="6" t="s">
        <v>244</v>
      </c>
      <c r="C114" s="6" t="s">
        <v>65</v>
      </c>
      <c r="D114" s="6" t="s">
        <v>65</v>
      </c>
      <c r="E114" s="6" t="s">
        <v>66</v>
      </c>
      <c r="F114" s="6" t="s">
        <v>40</v>
      </c>
      <c r="G114" s="6" t="s">
        <v>51</v>
      </c>
      <c r="H114" s="9">
        <v>4.08</v>
      </c>
      <c r="I114" s="9">
        <v>4.08</v>
      </c>
      <c r="J114">
        <f>INDEX(Cantones!C:C,MATCH(Tabelle2[[#This Row],[Cantón]],Cantones!A:A,0))</f>
        <v>-0.78617999999999999</v>
      </c>
      <c r="K114">
        <f>INDEX(Cantones!D:D,MATCH(Tabelle2[[#This Row],[Cantón]],Cantones!A:A,0))</f>
        <v>-76.480318400000002</v>
      </c>
    </row>
    <row r="115" spans="1:11">
      <c r="A115" s="11" t="s">
        <v>232</v>
      </c>
      <c r="B115" s="6" t="s">
        <v>246</v>
      </c>
      <c r="C115" s="6" t="s">
        <v>149</v>
      </c>
      <c r="D115" s="6" t="s">
        <v>234</v>
      </c>
      <c r="E115" s="6" t="s">
        <v>13</v>
      </c>
      <c r="F115" s="6" t="s">
        <v>14</v>
      </c>
      <c r="G115" s="6" t="s">
        <v>15</v>
      </c>
      <c r="H115" s="9">
        <v>4.1900000000000004</v>
      </c>
      <c r="I115" s="9">
        <v>4</v>
      </c>
      <c r="J115">
        <f>INDEX(Cantones!C:C,MATCH(Tabelle2[[#This Row],[Cantón]],Cantones!A:A,0))</f>
        <v>-0.93362149999999999</v>
      </c>
      <c r="K115">
        <f>INDEX(Cantones!D:D,MATCH(Tabelle2[[#This Row],[Cantón]],Cantones!A:A,0))</f>
        <v>-78.615048799999997</v>
      </c>
    </row>
    <row r="116" spans="1:11">
      <c r="A116" s="11" t="s">
        <v>232</v>
      </c>
      <c r="B116" s="6" t="s">
        <v>233</v>
      </c>
      <c r="C116" s="6" t="s">
        <v>149</v>
      </c>
      <c r="D116" s="6" t="s">
        <v>234</v>
      </c>
      <c r="E116" s="6" t="s">
        <v>13</v>
      </c>
      <c r="F116" s="6" t="s">
        <v>14</v>
      </c>
      <c r="G116" s="6" t="s">
        <v>15</v>
      </c>
      <c r="H116" s="9">
        <v>5.2</v>
      </c>
      <c r="I116" s="9">
        <v>5.2</v>
      </c>
      <c r="J116">
        <f>INDEX(Cantones!C:C,MATCH(Tabelle2[[#This Row],[Cantón]],Cantones!A:A,0))</f>
        <v>-0.93362149999999999</v>
      </c>
      <c r="K116">
        <f>INDEX(Cantones!D:D,MATCH(Tabelle2[[#This Row],[Cantón]],Cantones!A:A,0))</f>
        <v>-78.615048799999997</v>
      </c>
    </row>
    <row r="117" spans="1:11">
      <c r="A117" s="6" t="s">
        <v>63</v>
      </c>
      <c r="B117" s="6" t="s">
        <v>281</v>
      </c>
      <c r="C117" s="6" t="s">
        <v>65</v>
      </c>
      <c r="D117" s="6" t="s">
        <v>65</v>
      </c>
      <c r="E117" s="6" t="s">
        <v>66</v>
      </c>
      <c r="F117" s="6" t="s">
        <v>40</v>
      </c>
      <c r="G117" s="6" t="s">
        <v>51</v>
      </c>
      <c r="H117" s="9">
        <v>4.71</v>
      </c>
      <c r="I117" s="9">
        <v>2.2799999999999998</v>
      </c>
      <c r="J117">
        <f>INDEX(Cantones!C:C,MATCH(Tabelle2[[#This Row],[Cantón]],Cantones!A:A,0))</f>
        <v>-0.78617999999999999</v>
      </c>
      <c r="K117">
        <f>INDEX(Cantones!D:D,MATCH(Tabelle2[[#This Row],[Cantón]],Cantones!A:A,0))</f>
        <v>-76.480318400000002</v>
      </c>
    </row>
    <row r="118" spans="1:11">
      <c r="A118" s="6" t="s">
        <v>179</v>
      </c>
      <c r="B118" s="6" t="s">
        <v>180</v>
      </c>
      <c r="C118" s="6" t="s">
        <v>87</v>
      </c>
      <c r="D118" s="6" t="s">
        <v>97</v>
      </c>
      <c r="E118" s="6" t="s">
        <v>13</v>
      </c>
      <c r="F118" s="6" t="s">
        <v>14</v>
      </c>
      <c r="G118" s="6" t="s">
        <v>15</v>
      </c>
      <c r="H118" s="9">
        <v>10.44</v>
      </c>
      <c r="I118" s="9">
        <v>10.36</v>
      </c>
      <c r="J118">
        <f>INDEX(Cantones!C:C,MATCH(Tabelle2[[#This Row],[Cantón]],Cantones!A:A,0))</f>
        <v>-0.21549199999999999</v>
      </c>
      <c r="K118">
        <f>INDEX(Cantones!D:D,MATCH(Tabelle2[[#This Row],[Cantón]],Cantones!A:A,0))</f>
        <v>-78.501364800000005</v>
      </c>
    </row>
    <row r="119" spans="1:11">
      <c r="A119" s="10" t="s">
        <v>68</v>
      </c>
      <c r="B119" s="4" t="s">
        <v>243</v>
      </c>
      <c r="C119" s="4" t="s">
        <v>170</v>
      </c>
      <c r="D119" s="4" t="s">
        <v>243</v>
      </c>
      <c r="E119" s="4" t="s">
        <v>66</v>
      </c>
      <c r="F119" s="4" t="s">
        <v>40</v>
      </c>
      <c r="G119" s="4" t="s">
        <v>51</v>
      </c>
      <c r="H119" s="8">
        <v>5.0599999999999996</v>
      </c>
      <c r="I119" s="8">
        <v>4.09</v>
      </c>
      <c r="J119">
        <f>INDEX(Cantones!C:C,MATCH(Tabelle2[[#This Row],[Cantón]],Cantones!A:A,0))</f>
        <v>-2.8959964</v>
      </c>
      <c r="K119">
        <f>INDEX(Cantones!D:D,MATCH(Tabelle2[[#This Row],[Cantón]],Cantones!A:A,0))</f>
        <v>-79.019394700000007</v>
      </c>
    </row>
    <row r="120" spans="1:11">
      <c r="A120" s="22" t="s">
        <v>275</v>
      </c>
      <c r="B120" s="6" t="s">
        <v>367</v>
      </c>
      <c r="C120" s="6" t="s">
        <v>170</v>
      </c>
      <c r="D120" s="6" t="s">
        <v>243</v>
      </c>
      <c r="E120" s="6" t="s">
        <v>66</v>
      </c>
      <c r="F120" s="6" t="s">
        <v>289</v>
      </c>
      <c r="G120" s="6" t="s">
        <v>289</v>
      </c>
      <c r="H120" s="9">
        <v>0.95</v>
      </c>
      <c r="I120" s="9">
        <v>0.95</v>
      </c>
      <c r="J120">
        <f>INDEX(Cantones!C:C,MATCH(Tabelle2[[#This Row],[Cantón]],Cantones!A:A,0))</f>
        <v>-2.8959964</v>
      </c>
      <c r="K120">
        <f>INDEX(Cantones!D:D,MATCH(Tabelle2[[#This Row],[Cantón]],Cantones!A:A,0))</f>
        <v>-79.019394700000007</v>
      </c>
    </row>
    <row r="121" spans="1:11">
      <c r="A121" s="38" t="s">
        <v>275</v>
      </c>
      <c r="B121" s="38" t="s">
        <v>456</v>
      </c>
      <c r="C121" s="4" t="s">
        <v>170</v>
      </c>
      <c r="D121" s="38" t="s">
        <v>243</v>
      </c>
      <c r="E121" s="4" t="s">
        <v>66</v>
      </c>
      <c r="F121" s="4" t="s">
        <v>289</v>
      </c>
      <c r="G121" s="38" t="s">
        <v>289</v>
      </c>
      <c r="H121" s="40">
        <v>0.01</v>
      </c>
      <c r="I121" s="8">
        <v>0.01</v>
      </c>
      <c r="J121">
        <f>INDEX(Cantones!C:C,MATCH(Tabelle2[[#This Row],[Cantón]],Cantones!A:A,0))</f>
        <v>-2.8959964</v>
      </c>
      <c r="K121">
        <f>INDEX(Cantones!D:D,MATCH(Tabelle2[[#This Row],[Cantón]],Cantones!A:A,0))</f>
        <v>-79.019394700000007</v>
      </c>
    </row>
    <row r="122" spans="1:11">
      <c r="A122" s="4" t="s">
        <v>63</v>
      </c>
      <c r="B122" s="4" t="s">
        <v>317</v>
      </c>
      <c r="C122" s="4" t="s">
        <v>78</v>
      </c>
      <c r="D122" s="4" t="s">
        <v>102</v>
      </c>
      <c r="E122" s="4" t="s">
        <v>66</v>
      </c>
      <c r="F122" s="4" t="s">
        <v>40</v>
      </c>
      <c r="G122" s="4" t="s">
        <v>51</v>
      </c>
      <c r="H122" s="8">
        <v>2.5299999999999998</v>
      </c>
      <c r="I122" s="8">
        <v>1.35</v>
      </c>
      <c r="J122">
        <f>INDEX(Cantones!C:C,MATCH(Tabelle2[[#This Row],[Cantón]],Cantones!A:A,0))</f>
        <v>-0.28860940000000002</v>
      </c>
      <c r="K122">
        <f>INDEX(Cantones!D:D,MATCH(Tabelle2[[#This Row],[Cantón]],Cantones!A:A,0))</f>
        <v>-76.590663199999995</v>
      </c>
    </row>
    <row r="123" spans="1:11">
      <c r="A123" s="6" t="s">
        <v>63</v>
      </c>
      <c r="B123" s="6" t="s">
        <v>327</v>
      </c>
      <c r="C123" s="6" t="s">
        <v>78</v>
      </c>
      <c r="D123" s="6" t="s">
        <v>102</v>
      </c>
      <c r="E123" s="6" t="s">
        <v>66</v>
      </c>
      <c r="F123" s="6" t="s">
        <v>40</v>
      </c>
      <c r="G123" s="6" t="s">
        <v>51</v>
      </c>
      <c r="H123" s="9">
        <v>2.5499999999999998</v>
      </c>
      <c r="I123" s="9">
        <v>1.1000000000000001</v>
      </c>
      <c r="J123">
        <f>INDEX(Cantones!C:C,MATCH(Tabelle2[[#This Row],[Cantón]],Cantones!A:A,0))</f>
        <v>-0.28860940000000002</v>
      </c>
      <c r="K123">
        <f>INDEX(Cantones!D:D,MATCH(Tabelle2[[#This Row],[Cantón]],Cantones!A:A,0))</f>
        <v>-76.590663199999995</v>
      </c>
    </row>
    <row r="124" spans="1:11">
      <c r="A124" s="4" t="s">
        <v>63</v>
      </c>
      <c r="B124" s="4" t="s">
        <v>425</v>
      </c>
      <c r="C124" s="4" t="s">
        <v>65</v>
      </c>
      <c r="D124" s="4" t="s">
        <v>65</v>
      </c>
      <c r="E124" s="4" t="s">
        <v>66</v>
      </c>
      <c r="F124" s="4" t="s">
        <v>40</v>
      </c>
      <c r="G124" s="4" t="s">
        <v>51</v>
      </c>
      <c r="H124" s="8">
        <v>1.36</v>
      </c>
      <c r="I124" s="8">
        <v>0.28999999999999998</v>
      </c>
      <c r="J124">
        <f>INDEX(Cantones!C:C,MATCH(Tabelle2[[#This Row],[Cantón]],Cantones!A:A,0))</f>
        <v>-0.78617999999999999</v>
      </c>
      <c r="K124">
        <f>INDEX(Cantones!D:D,MATCH(Tabelle2[[#This Row],[Cantón]],Cantones!A:A,0))</f>
        <v>-76.480318400000002</v>
      </c>
    </row>
    <row r="125" spans="1:11">
      <c r="A125" s="4" t="s">
        <v>48</v>
      </c>
      <c r="B125" s="4" t="s">
        <v>49</v>
      </c>
      <c r="C125" s="4" t="s">
        <v>50</v>
      </c>
      <c r="D125" s="33" t="s">
        <v>523</v>
      </c>
      <c r="E125" s="4" t="s">
        <v>13</v>
      </c>
      <c r="F125" s="4" t="s">
        <v>40</v>
      </c>
      <c r="G125" s="4" t="s">
        <v>51</v>
      </c>
      <c r="H125" s="8">
        <v>140</v>
      </c>
      <c r="I125" s="8">
        <v>128.88</v>
      </c>
      <c r="J125">
        <f>INDEX(Cantones!C:C,MATCH(Tabelle2[[#This Row],[Cantón]],Cantones!A:A,0))</f>
        <v>-0.97390969999999999</v>
      </c>
      <c r="K125">
        <f>INDEX(Cantones!D:D,MATCH(Tabelle2[[#This Row],[Cantón]],Cantones!A:A,0))</f>
        <v>-80.602084700000006</v>
      </c>
    </row>
    <row r="126" spans="1:11">
      <c r="A126" s="23" t="s">
        <v>63</v>
      </c>
      <c r="B126" s="4" t="s">
        <v>381</v>
      </c>
      <c r="C126" s="4" t="s">
        <v>78</v>
      </c>
      <c r="D126" s="4" t="s">
        <v>102</v>
      </c>
      <c r="E126" s="4" t="s">
        <v>66</v>
      </c>
      <c r="F126" s="4" t="s">
        <v>40</v>
      </c>
      <c r="G126" s="4" t="s">
        <v>51</v>
      </c>
      <c r="H126" s="8">
        <v>1.96</v>
      </c>
      <c r="I126" s="8">
        <v>0.76</v>
      </c>
      <c r="J126">
        <f>INDEX(Cantones!C:C,MATCH(Tabelle2[[#This Row],[Cantón]],Cantones!A:A,0))</f>
        <v>-0.28860940000000002</v>
      </c>
      <c r="K126">
        <f>INDEX(Cantones!D:D,MATCH(Tabelle2[[#This Row],[Cantón]],Cantones!A:A,0))</f>
        <v>-76.590663199999995</v>
      </c>
    </row>
    <row r="127" spans="1:11">
      <c r="A127" s="4" t="s">
        <v>63</v>
      </c>
      <c r="B127" s="4" t="s">
        <v>433</v>
      </c>
      <c r="C127" s="4" t="s">
        <v>78</v>
      </c>
      <c r="D127" s="4" t="s">
        <v>102</v>
      </c>
      <c r="E127" s="4" t="s">
        <v>66</v>
      </c>
      <c r="F127" s="4" t="s">
        <v>40</v>
      </c>
      <c r="G127" s="4" t="s">
        <v>51</v>
      </c>
      <c r="H127" s="8">
        <v>0.55000000000000004</v>
      </c>
      <c r="I127" s="8">
        <v>0.23</v>
      </c>
      <c r="J127">
        <f>INDEX(Cantones!C:C,MATCH(Tabelle2[[#This Row],[Cantón]],Cantones!A:A,0))</f>
        <v>-0.28860940000000002</v>
      </c>
      <c r="K127">
        <f>INDEX(Cantones!D:D,MATCH(Tabelle2[[#This Row],[Cantón]],Cantones!A:A,0))</f>
        <v>-76.590663199999995</v>
      </c>
    </row>
    <row r="128" spans="1:11">
      <c r="A128" s="10" t="s">
        <v>68</v>
      </c>
      <c r="B128" s="4" t="s">
        <v>229</v>
      </c>
      <c r="C128" s="4" t="s">
        <v>78</v>
      </c>
      <c r="D128" s="4" t="s">
        <v>102</v>
      </c>
      <c r="E128" s="4" t="s">
        <v>13</v>
      </c>
      <c r="F128" s="4" t="s">
        <v>40</v>
      </c>
      <c r="G128" s="4" t="s">
        <v>51</v>
      </c>
      <c r="H128" s="8">
        <v>7.5</v>
      </c>
      <c r="I128" s="8">
        <v>5.4</v>
      </c>
      <c r="J128">
        <f>INDEX(Cantones!C:C,MATCH(Tabelle2[[#This Row],[Cantón]],Cantones!A:A,0))</f>
        <v>-0.28860940000000002</v>
      </c>
      <c r="K128">
        <f>INDEX(Cantones!D:D,MATCH(Tabelle2[[#This Row],[Cantón]],Cantones!A:A,0))</f>
        <v>-76.590663199999995</v>
      </c>
    </row>
    <row r="129" spans="1:11">
      <c r="A129" s="4" t="s">
        <v>68</v>
      </c>
      <c r="B129" s="4" t="s">
        <v>185</v>
      </c>
      <c r="C129" s="4" t="s">
        <v>78</v>
      </c>
      <c r="D129" s="4" t="s">
        <v>102</v>
      </c>
      <c r="E129" s="4" t="s">
        <v>13</v>
      </c>
      <c r="F129" s="4" t="s">
        <v>40</v>
      </c>
      <c r="G129" s="4" t="s">
        <v>51</v>
      </c>
      <c r="H129" s="8">
        <v>11</v>
      </c>
      <c r="I129" s="8">
        <v>10</v>
      </c>
      <c r="J129">
        <f>INDEX(Cantones!C:C,MATCH(Tabelle2[[#This Row],[Cantón]],Cantones!A:A,0))</f>
        <v>-0.28860940000000002</v>
      </c>
      <c r="K129">
        <f>INDEX(Cantones!D:D,MATCH(Tabelle2[[#This Row],[Cantón]],Cantones!A:A,0))</f>
        <v>-76.590663199999995</v>
      </c>
    </row>
    <row r="130" spans="1:11">
      <c r="A130" s="10" t="s">
        <v>68</v>
      </c>
      <c r="B130" s="4" t="s">
        <v>101</v>
      </c>
      <c r="C130" s="4" t="s">
        <v>78</v>
      </c>
      <c r="D130" s="4" t="s">
        <v>102</v>
      </c>
      <c r="E130" s="4" t="s">
        <v>13</v>
      </c>
      <c r="F130" s="4" t="s">
        <v>40</v>
      </c>
      <c r="G130" s="4" t="s">
        <v>51</v>
      </c>
      <c r="H130" s="8">
        <v>44</v>
      </c>
      <c r="I130" s="8">
        <v>42</v>
      </c>
      <c r="J130">
        <f>INDEX(Cantones!C:C,MATCH(Tabelle2[[#This Row],[Cantón]],Cantones!A:A,0))</f>
        <v>-0.28860940000000002</v>
      </c>
      <c r="K130">
        <f>INDEX(Cantones!D:D,MATCH(Tabelle2[[#This Row],[Cantón]],Cantones!A:A,0))</f>
        <v>-76.590663199999995</v>
      </c>
    </row>
    <row r="131" spans="1:11">
      <c r="A131" s="6" t="s">
        <v>304</v>
      </c>
      <c r="B131" s="6" t="s">
        <v>316</v>
      </c>
      <c r="C131" s="6" t="s">
        <v>87</v>
      </c>
      <c r="D131" s="6" t="s">
        <v>306</v>
      </c>
      <c r="E131" s="6" t="s">
        <v>13</v>
      </c>
      <c r="F131" s="6" t="s">
        <v>40</v>
      </c>
      <c r="G131" s="6" t="s">
        <v>51</v>
      </c>
      <c r="H131" s="9">
        <v>1.6</v>
      </c>
      <c r="I131" s="9">
        <v>1.4</v>
      </c>
      <c r="J131">
        <f>INDEX(Cantones!C:C,MATCH(Tabelle2[[#This Row],[Cantón]],Cantones!A:A,0))</f>
        <v>-3.8812999999999999E-3</v>
      </c>
      <c r="K131">
        <f>INDEX(Cantones!D:D,MATCH(Tabelle2[[#This Row],[Cantón]],Cantones!A:A,0))</f>
        <v>-78.048180099999996</v>
      </c>
    </row>
    <row r="132" spans="1:11">
      <c r="A132" s="4" t="s">
        <v>76</v>
      </c>
      <c r="B132" s="4" t="s">
        <v>296</v>
      </c>
      <c r="C132" s="4" t="s">
        <v>65</v>
      </c>
      <c r="D132" s="4" t="s">
        <v>65</v>
      </c>
      <c r="E132" s="4" t="s">
        <v>66</v>
      </c>
      <c r="F132" s="4" t="s">
        <v>40</v>
      </c>
      <c r="G132" s="4" t="s">
        <v>51</v>
      </c>
      <c r="H132" s="8">
        <v>2.1800000000000002</v>
      </c>
      <c r="I132" s="8">
        <v>1.83</v>
      </c>
      <c r="J132">
        <f>INDEX(Cantones!C:C,MATCH(Tabelle2[[#This Row],[Cantón]],Cantones!A:A,0))</f>
        <v>-0.78617999999999999</v>
      </c>
      <c r="K132">
        <f>INDEX(Cantones!D:D,MATCH(Tabelle2[[#This Row],[Cantón]],Cantones!A:A,0))</f>
        <v>-76.480318400000002</v>
      </c>
    </row>
    <row r="133" spans="1:11">
      <c r="A133" s="6" t="s">
        <v>76</v>
      </c>
      <c r="B133" s="6" t="s">
        <v>312</v>
      </c>
      <c r="C133" s="6" t="s">
        <v>65</v>
      </c>
      <c r="D133" s="6" t="s">
        <v>65</v>
      </c>
      <c r="E133" s="6" t="s">
        <v>66</v>
      </c>
      <c r="F133" s="6" t="s">
        <v>40</v>
      </c>
      <c r="G133" s="6" t="s">
        <v>51</v>
      </c>
      <c r="H133" s="9">
        <v>1.91</v>
      </c>
      <c r="I133" s="9">
        <v>1.5</v>
      </c>
      <c r="J133">
        <f>INDEX(Cantones!C:C,MATCH(Tabelle2[[#This Row],[Cantón]],Cantones!A:A,0))</f>
        <v>-0.78617999999999999</v>
      </c>
      <c r="K133">
        <f>INDEX(Cantones!D:D,MATCH(Tabelle2[[#This Row],[Cantón]],Cantones!A:A,0))</f>
        <v>-76.480318400000002</v>
      </c>
    </row>
    <row r="134" spans="1:11">
      <c r="A134" s="14" t="s">
        <v>290</v>
      </c>
      <c r="B134" s="6" t="s">
        <v>291</v>
      </c>
      <c r="C134" s="6" t="s">
        <v>87</v>
      </c>
      <c r="D134" s="33" t="s">
        <v>529</v>
      </c>
      <c r="E134" s="6" t="s">
        <v>13</v>
      </c>
      <c r="F134" s="6" t="s">
        <v>14</v>
      </c>
      <c r="G134" s="6" t="s">
        <v>15</v>
      </c>
      <c r="H134" s="9">
        <v>2.5</v>
      </c>
      <c r="I134" s="9">
        <v>1.98</v>
      </c>
      <c r="J134">
        <f>INDEX(Cantones!C:C,MATCH(Tabelle2[[#This Row],[Cantón]],Cantones!A:A,0))</f>
        <v>-0.49847740000000001</v>
      </c>
      <c r="K134">
        <f>INDEX(Cantones!D:D,MATCH(Tabelle2[[#This Row],[Cantón]],Cantones!A:A,0))</f>
        <v>-78.651691499999998</v>
      </c>
    </row>
    <row r="135" spans="1:11">
      <c r="A135" s="16" t="s">
        <v>202</v>
      </c>
      <c r="B135" s="4" t="s">
        <v>322</v>
      </c>
      <c r="C135" s="4" t="s">
        <v>269</v>
      </c>
      <c r="D135" s="33" t="s">
        <v>542</v>
      </c>
      <c r="E135" s="4" t="s">
        <v>13</v>
      </c>
      <c r="F135" s="4" t="s">
        <v>14</v>
      </c>
      <c r="G135" s="4" t="s">
        <v>15</v>
      </c>
      <c r="H135" s="8">
        <v>1.43</v>
      </c>
      <c r="I135" s="8">
        <v>1.23</v>
      </c>
      <c r="J135">
        <f>INDEX(Cantones!C:C,MATCH(Tabelle2[[#This Row],[Cantón]],Cantones!A:A,0))</f>
        <v>0.81100000000000005</v>
      </c>
      <c r="K135">
        <f>INDEX(Cantones!D:D,MATCH(Tabelle2[[#This Row],[Cantón]],Cantones!A:A,0))</f>
        <v>-77.717299999999994</v>
      </c>
    </row>
    <row r="136" spans="1:11">
      <c r="A136" s="6" t="s">
        <v>52</v>
      </c>
      <c r="B136" s="6" t="s">
        <v>195</v>
      </c>
      <c r="C136" s="6" t="s">
        <v>54</v>
      </c>
      <c r="D136" s="6" t="s">
        <v>54</v>
      </c>
      <c r="E136" s="6" t="s">
        <v>13</v>
      </c>
      <c r="F136" s="6" t="s">
        <v>40</v>
      </c>
      <c r="G136" s="6" t="s">
        <v>51</v>
      </c>
      <c r="H136" s="9">
        <v>10.5</v>
      </c>
      <c r="I136" s="9">
        <v>8.5</v>
      </c>
      <c r="J136">
        <f>INDEX(Cantones!C:C,MATCH(Tabelle2[[#This Row],[Cantón]],Cantones!A:A,0))</f>
        <v>0.73436190000000001</v>
      </c>
      <c r="K136">
        <f>INDEX(Cantones!D:D,MATCH(Tabelle2[[#This Row],[Cantón]],Cantones!A:A,0))</f>
        <v>-79.3858867</v>
      </c>
    </row>
    <row r="137" spans="1:11">
      <c r="A137" s="4" t="s">
        <v>63</v>
      </c>
      <c r="B137" s="4" t="s">
        <v>134</v>
      </c>
      <c r="C137" s="4" t="s">
        <v>78</v>
      </c>
      <c r="D137" s="4" t="s">
        <v>134</v>
      </c>
      <c r="E137" s="4" t="s">
        <v>66</v>
      </c>
      <c r="F137" s="4" t="s">
        <v>40</v>
      </c>
      <c r="G137" s="4" t="s">
        <v>51</v>
      </c>
      <c r="H137" s="8">
        <v>13.8</v>
      </c>
      <c r="I137" s="8">
        <v>11.12</v>
      </c>
      <c r="J137">
        <f>INDEX(Cantones!C:C,MATCH(Tabelle2[[#This Row],[Cantón]],Cantones!A:A,0))</f>
        <v>8.5400000000000004E-2</v>
      </c>
      <c r="K137">
        <f>INDEX(Cantones!D:D,MATCH(Tabelle2[[#This Row],[Cantón]],Cantones!A:A,0))</f>
        <v>-76.891499999999994</v>
      </c>
    </row>
    <row r="138" spans="1:11">
      <c r="A138" s="6" t="s">
        <v>76</v>
      </c>
      <c r="B138" s="6" t="s">
        <v>319</v>
      </c>
      <c r="C138" s="6" t="s">
        <v>78</v>
      </c>
      <c r="D138" s="6" t="s">
        <v>134</v>
      </c>
      <c r="E138" s="6" t="s">
        <v>66</v>
      </c>
      <c r="F138" s="6" t="s">
        <v>40</v>
      </c>
      <c r="G138" s="6" t="s">
        <v>51</v>
      </c>
      <c r="H138" s="9">
        <v>1.64</v>
      </c>
      <c r="I138" s="9">
        <v>1.28</v>
      </c>
      <c r="J138">
        <f>INDEX(Cantones!C:C,MATCH(Tabelle2[[#This Row],[Cantón]],Cantones!A:A,0))</f>
        <v>8.5400000000000004E-2</v>
      </c>
      <c r="K138">
        <f>INDEX(Cantones!D:D,MATCH(Tabelle2[[#This Row],[Cantón]],Cantones!A:A,0))</f>
        <v>-76.891499999999994</v>
      </c>
    </row>
    <row r="139" spans="1:11">
      <c r="A139" s="4" t="s">
        <v>63</v>
      </c>
      <c r="B139" s="4" t="s">
        <v>404</v>
      </c>
      <c r="C139" s="4" t="s">
        <v>78</v>
      </c>
      <c r="D139" s="4" t="s">
        <v>102</v>
      </c>
      <c r="E139" s="4" t="s">
        <v>66</v>
      </c>
      <c r="F139" s="4" t="s">
        <v>40</v>
      </c>
      <c r="G139" s="4" t="s">
        <v>51</v>
      </c>
      <c r="H139" s="8">
        <v>0.82</v>
      </c>
      <c r="I139" s="8">
        <v>0.44</v>
      </c>
      <c r="J139">
        <f>INDEX(Cantones!C:C,MATCH(Tabelle2[[#This Row],[Cantón]],Cantones!A:A,0))</f>
        <v>-0.28860940000000002</v>
      </c>
      <c r="K139">
        <f>INDEX(Cantones!D:D,MATCH(Tabelle2[[#This Row],[Cantón]],Cantones!A:A,0))</f>
        <v>-76.590663199999995</v>
      </c>
    </row>
    <row r="140" spans="1:11">
      <c r="A140" s="6" t="s">
        <v>63</v>
      </c>
      <c r="B140" s="6" t="s">
        <v>209</v>
      </c>
      <c r="C140" s="6" t="s">
        <v>78</v>
      </c>
      <c r="D140" s="6" t="s">
        <v>102</v>
      </c>
      <c r="E140" s="6" t="s">
        <v>66</v>
      </c>
      <c r="F140" s="6" t="s">
        <v>40</v>
      </c>
      <c r="G140" s="6" t="s">
        <v>51</v>
      </c>
      <c r="H140" s="9">
        <v>15.95</v>
      </c>
      <c r="I140" s="9">
        <v>7.47</v>
      </c>
      <c r="J140">
        <f>INDEX(Cantones!C:C,MATCH(Tabelle2[[#This Row],[Cantón]],Cantones!A:A,0))</f>
        <v>-0.28860940000000002</v>
      </c>
      <c r="K140">
        <f>INDEX(Cantones!D:D,MATCH(Tabelle2[[#This Row],[Cantón]],Cantones!A:A,0))</f>
        <v>-76.590663199999995</v>
      </c>
    </row>
    <row r="141" spans="1:11">
      <c r="A141" s="11" t="s">
        <v>252</v>
      </c>
      <c r="B141" s="6" t="s">
        <v>253</v>
      </c>
      <c r="C141" s="6" t="s">
        <v>30</v>
      </c>
      <c r="D141" s="6" t="s">
        <v>254</v>
      </c>
      <c r="E141" s="6" t="s">
        <v>13</v>
      </c>
      <c r="F141" s="6" t="s">
        <v>40</v>
      </c>
      <c r="G141" s="6" t="s">
        <v>51</v>
      </c>
      <c r="H141" s="9">
        <v>5</v>
      </c>
      <c r="I141" s="9">
        <v>3.6</v>
      </c>
      <c r="J141">
        <f>INDEX(Cantones!C:C,MATCH(Tabelle2[[#This Row],[Cantón]],Cantones!A:A,0))</f>
        <v>-1.2491000000000001</v>
      </c>
      <c r="K141">
        <f>INDEX(Cantones!D:D,MATCH(Tabelle2[[#This Row],[Cantón]],Cantones!A:A,0))</f>
        <v>-78.616799999999998</v>
      </c>
    </row>
    <row r="142" spans="1:11">
      <c r="A142" s="4" t="s">
        <v>63</v>
      </c>
      <c r="B142" s="4" t="s">
        <v>328</v>
      </c>
      <c r="C142" s="4" t="s">
        <v>65</v>
      </c>
      <c r="D142" s="4" t="s">
        <v>65</v>
      </c>
      <c r="E142" s="4" t="s">
        <v>66</v>
      </c>
      <c r="F142" s="4" t="s">
        <v>40</v>
      </c>
      <c r="G142" s="4" t="s">
        <v>51</v>
      </c>
      <c r="H142" s="8">
        <v>1.41</v>
      </c>
      <c r="I142" s="8">
        <v>1.0900000000000001</v>
      </c>
      <c r="J142">
        <f>INDEX(Cantones!C:C,MATCH(Tabelle2[[#This Row],[Cantón]],Cantones!A:A,0))</f>
        <v>-0.78617999999999999</v>
      </c>
      <c r="K142">
        <f>INDEX(Cantones!D:D,MATCH(Tabelle2[[#This Row],[Cantón]],Cantones!A:A,0))</f>
        <v>-76.480318400000002</v>
      </c>
    </row>
    <row r="143" spans="1:11">
      <c r="A143" s="6" t="s">
        <v>387</v>
      </c>
      <c r="B143" s="6" t="s">
        <v>387</v>
      </c>
      <c r="C143" s="6" t="s">
        <v>155</v>
      </c>
      <c r="D143" s="6" t="s">
        <v>154</v>
      </c>
      <c r="E143" s="6" t="s">
        <v>13</v>
      </c>
      <c r="F143" s="6" t="s">
        <v>289</v>
      </c>
      <c r="G143" s="6" t="s">
        <v>289</v>
      </c>
      <c r="H143" s="9">
        <v>1</v>
      </c>
      <c r="I143" s="9">
        <v>0.7</v>
      </c>
      <c r="J143">
        <f>INDEX(Cantones!C:C,MATCH(Tabelle2[[#This Row],[Cantón]],Cantones!A:A,0))</f>
        <v>-3.9870000000000001</v>
      </c>
      <c r="K143">
        <f>INDEX(Cantones!D:D,MATCH(Tabelle2[[#This Row],[Cantón]],Cantones!A:A,0))</f>
        <v>-79.359200000000001</v>
      </c>
    </row>
    <row r="144" spans="1:11">
      <c r="A144" s="6" t="s">
        <v>217</v>
      </c>
      <c r="B144" s="6" t="s">
        <v>283</v>
      </c>
      <c r="C144" s="6" t="s">
        <v>11</v>
      </c>
      <c r="D144" s="6" t="s">
        <v>188</v>
      </c>
      <c r="E144" s="6" t="s">
        <v>13</v>
      </c>
      <c r="F144" s="6" t="s">
        <v>14</v>
      </c>
      <c r="G144" s="6" t="s">
        <v>15</v>
      </c>
      <c r="H144" s="9">
        <v>2.2999999999999998</v>
      </c>
      <c r="I144" s="9">
        <v>2.2000000000000002</v>
      </c>
      <c r="J144">
        <f>INDEX(Cantones!C:C,MATCH(Tabelle2[[#This Row],[Cantón]],Cantones!A:A,0))</f>
        <v>-0.22229670000000001</v>
      </c>
      <c r="K144">
        <f>INDEX(Cantones!D:D,MATCH(Tabelle2[[#This Row],[Cantón]],Cantones!A:A,0))</f>
        <v>-78.523431299999999</v>
      </c>
    </row>
    <row r="145" spans="1:11">
      <c r="A145" s="4" t="s">
        <v>68</v>
      </c>
      <c r="B145" s="42" t="s">
        <v>559</v>
      </c>
      <c r="C145" s="4" t="s">
        <v>65</v>
      </c>
      <c r="D145" s="4" t="s">
        <v>283</v>
      </c>
      <c r="E145" s="4" t="s">
        <v>13</v>
      </c>
      <c r="F145" s="4" t="s">
        <v>40</v>
      </c>
      <c r="G145" s="4" t="s">
        <v>51</v>
      </c>
      <c r="H145" s="8">
        <v>2.25</v>
      </c>
      <c r="I145" s="8">
        <v>1.8</v>
      </c>
      <c r="J145">
        <f>INDEX(Cantones!C:C,MATCH(Tabelle2[[#This Row],[Cantón]],Cantones!A:A,0))</f>
        <v>-0.6471884</v>
      </c>
      <c r="K145">
        <f>INDEX(Cantones!D:D,MATCH(Tabelle2[[#This Row],[Cantón]],Cantones!A:A,0))</f>
        <v>-77.325273800000005</v>
      </c>
    </row>
    <row r="146" spans="1:11">
      <c r="A146" s="14" t="s">
        <v>106</v>
      </c>
      <c r="B146" s="6" t="s">
        <v>299</v>
      </c>
      <c r="C146" s="6" t="s">
        <v>87</v>
      </c>
      <c r="D146" s="6" t="s">
        <v>300</v>
      </c>
      <c r="E146" s="6" t="s">
        <v>13</v>
      </c>
      <c r="F146" s="6" t="s">
        <v>14</v>
      </c>
      <c r="G146" s="6" t="s">
        <v>15</v>
      </c>
      <c r="H146" s="9">
        <v>1.76</v>
      </c>
      <c r="I146" s="9">
        <v>1.76</v>
      </c>
      <c r="J146">
        <f>INDEX(Cantones!C:C,MATCH(Tabelle2[[#This Row],[Cantón]],Cantones!A:A,0))</f>
        <v>-0.39888000000000001</v>
      </c>
      <c r="K146">
        <f>INDEX(Cantones!D:D,MATCH(Tabelle2[[#This Row],[Cantón]],Cantones!A:A,0))</f>
        <v>-78.436810699999995</v>
      </c>
    </row>
    <row r="147" spans="1:11">
      <c r="A147" s="10" t="s">
        <v>68</v>
      </c>
      <c r="B147" s="4" t="s">
        <v>247</v>
      </c>
      <c r="C147" s="4" t="s">
        <v>89</v>
      </c>
      <c r="D147" s="4" t="s">
        <v>95</v>
      </c>
      <c r="E147" s="4" t="s">
        <v>13</v>
      </c>
      <c r="F147" s="4" t="s">
        <v>40</v>
      </c>
      <c r="G147" s="4" t="s">
        <v>51</v>
      </c>
      <c r="H147" s="8">
        <v>4.5</v>
      </c>
      <c r="I147" s="8">
        <v>4</v>
      </c>
      <c r="J147">
        <f>INDEX(Cantones!C:C,MATCH(Tabelle2[[#This Row],[Cantón]],Cantones!A:A,0))</f>
        <v>-2.4303097</v>
      </c>
      <c r="K147">
        <f>INDEX(Cantones!D:D,MATCH(Tabelle2[[#This Row],[Cantón]],Cantones!A:A,0))</f>
        <v>-77.880191999999994</v>
      </c>
    </row>
    <row r="148" spans="1:11">
      <c r="A148" s="4" t="s">
        <v>9</v>
      </c>
      <c r="B148" s="4" t="s">
        <v>82</v>
      </c>
      <c r="C148" s="4" t="s">
        <v>83</v>
      </c>
      <c r="D148" s="4" t="s">
        <v>84</v>
      </c>
      <c r="E148" s="4" t="s">
        <v>13</v>
      </c>
      <c r="F148" s="4" t="s">
        <v>14</v>
      </c>
      <c r="G148" s="4" t="s">
        <v>15</v>
      </c>
      <c r="H148" s="8">
        <v>63.36</v>
      </c>
      <c r="I148" s="8">
        <v>65</v>
      </c>
      <c r="J148">
        <f>INDEX(Cantones!C:C,MATCH(Tabelle2[[#This Row],[Cantón]],Cantones!A:A,0))</f>
        <v>0.39552340000000002</v>
      </c>
      <c r="K148">
        <f>INDEX(Cantones!D:D,MATCH(Tabelle2[[#This Row],[Cantón]],Cantones!A:A,0))</f>
        <v>-78.450701300000006</v>
      </c>
    </row>
    <row r="149" spans="1:11">
      <c r="A149" s="13" t="s">
        <v>48</v>
      </c>
      <c r="B149" s="4" t="s">
        <v>150</v>
      </c>
      <c r="C149" s="4" t="s">
        <v>50</v>
      </c>
      <c r="D149" s="4" t="s">
        <v>109</v>
      </c>
      <c r="E149" s="4" t="s">
        <v>13</v>
      </c>
      <c r="F149" s="4" t="s">
        <v>40</v>
      </c>
      <c r="G149" s="4" t="s">
        <v>51</v>
      </c>
      <c r="H149" s="8">
        <v>20.399999999999999</v>
      </c>
      <c r="I149" s="8">
        <v>17.34</v>
      </c>
      <c r="J149">
        <f>INDEX(Cantones!C:C,MATCH(Tabelle2[[#This Row],[Cantón]],Cantones!A:A,0))</f>
        <v>-1.0321775</v>
      </c>
      <c r="K149">
        <f>INDEX(Cantones!D:D,MATCH(Tabelle2[[#This Row],[Cantón]],Cantones!A:A,0))</f>
        <v>-80.822216699999998</v>
      </c>
    </row>
    <row r="150" spans="1:11">
      <c r="A150" s="4" t="s">
        <v>24</v>
      </c>
      <c r="B150" s="4" t="s">
        <v>25</v>
      </c>
      <c r="C150" s="4" t="s">
        <v>26</v>
      </c>
      <c r="D150" s="4" t="s">
        <v>27</v>
      </c>
      <c r="E150" s="4" t="s">
        <v>13</v>
      </c>
      <c r="F150" s="4" t="s">
        <v>14</v>
      </c>
      <c r="G150" s="4" t="s">
        <v>20</v>
      </c>
      <c r="H150" s="8">
        <v>213</v>
      </c>
      <c r="I150" s="8">
        <v>213</v>
      </c>
      <c r="J150">
        <f>INDEX(Cantones!C:C,MATCH(Tabelle2[[#This Row],[Cantón]],Cantones!A:A,0))</f>
        <v>-0.99101070000000002</v>
      </c>
      <c r="K150">
        <f>INDEX(Cantones!D:D,MATCH(Tabelle2[[#This Row],[Cantón]],Cantones!A:A,0))</f>
        <v>-79.664236500000001</v>
      </c>
    </row>
    <row r="151" spans="1:11">
      <c r="A151" s="22" t="s">
        <v>76</v>
      </c>
      <c r="B151" s="6" t="s">
        <v>377</v>
      </c>
      <c r="C151" s="6" t="s">
        <v>78</v>
      </c>
      <c r="D151" s="6" t="s">
        <v>79</v>
      </c>
      <c r="E151" s="6" t="s">
        <v>66</v>
      </c>
      <c r="F151" s="6" t="s">
        <v>40</v>
      </c>
      <c r="G151" s="6" t="s">
        <v>51</v>
      </c>
      <c r="H151" s="9">
        <v>1.0900000000000001</v>
      </c>
      <c r="I151" s="9">
        <v>0.8</v>
      </c>
      <c r="J151">
        <f>INDEX(Cantones!C:C,MATCH(Tabelle2[[#This Row],[Cantón]],Cantones!A:A,0))</f>
        <v>-0.26551140000000001</v>
      </c>
      <c r="K151">
        <f>INDEX(Cantones!D:D,MATCH(Tabelle2[[#This Row],[Cantón]],Cantones!A:A,0))</f>
        <v>-75.892069199999995</v>
      </c>
    </row>
    <row r="152" spans="1:11">
      <c r="A152" s="6" t="s">
        <v>76</v>
      </c>
      <c r="B152" s="6" t="s">
        <v>321</v>
      </c>
      <c r="C152" s="6" t="s">
        <v>78</v>
      </c>
      <c r="D152" s="6" t="s">
        <v>79</v>
      </c>
      <c r="E152" s="6" t="s">
        <v>66</v>
      </c>
      <c r="F152" s="6" t="s">
        <v>40</v>
      </c>
      <c r="G152" s="6" t="s">
        <v>51</v>
      </c>
      <c r="H152" s="9">
        <v>1.49</v>
      </c>
      <c r="I152" s="9">
        <v>1.25</v>
      </c>
      <c r="J152">
        <f>INDEX(Cantones!C:C,MATCH(Tabelle2[[#This Row],[Cantón]],Cantones!A:A,0))</f>
        <v>-0.26551140000000001</v>
      </c>
      <c r="K152">
        <f>INDEX(Cantones!D:D,MATCH(Tabelle2[[#This Row],[Cantón]],Cantones!A:A,0))</f>
        <v>-75.892069199999995</v>
      </c>
    </row>
    <row r="153" spans="1:11">
      <c r="A153" s="6" t="s">
        <v>76</v>
      </c>
      <c r="B153" s="6" t="s">
        <v>333</v>
      </c>
      <c r="C153" s="6" t="s">
        <v>78</v>
      </c>
      <c r="D153" s="6" t="s">
        <v>79</v>
      </c>
      <c r="E153" s="6" t="s">
        <v>66</v>
      </c>
      <c r="F153" s="6" t="s">
        <v>40</v>
      </c>
      <c r="G153" s="6" t="s">
        <v>51</v>
      </c>
      <c r="H153" s="9">
        <v>1.29</v>
      </c>
      <c r="I153" s="9">
        <v>1.05</v>
      </c>
      <c r="J153">
        <f>INDEX(Cantones!C:C,MATCH(Tabelle2[[#This Row],[Cantón]],Cantones!A:A,0))</f>
        <v>-0.26551140000000001</v>
      </c>
      <c r="K153">
        <f>INDEX(Cantones!D:D,MATCH(Tabelle2[[#This Row],[Cantón]],Cantones!A:A,0))</f>
        <v>-75.892069199999995</v>
      </c>
    </row>
    <row r="154" spans="1:11">
      <c r="A154" s="22" t="s">
        <v>76</v>
      </c>
      <c r="B154" s="6" t="s">
        <v>365</v>
      </c>
      <c r="C154" s="6" t="s">
        <v>78</v>
      </c>
      <c r="D154" s="6" t="s">
        <v>79</v>
      </c>
      <c r="E154" s="6" t="s">
        <v>66</v>
      </c>
      <c r="F154" s="6" t="s">
        <v>40</v>
      </c>
      <c r="G154" s="6" t="s">
        <v>51</v>
      </c>
      <c r="H154" s="9">
        <v>1.27</v>
      </c>
      <c r="I154" s="9">
        <v>0.97</v>
      </c>
      <c r="J154">
        <f>INDEX(Cantones!C:C,MATCH(Tabelle2[[#This Row],[Cantón]],Cantones!A:A,0))</f>
        <v>-0.26551140000000001</v>
      </c>
      <c r="K154">
        <f>INDEX(Cantones!D:D,MATCH(Tabelle2[[#This Row],[Cantón]],Cantones!A:A,0))</f>
        <v>-75.892069199999995</v>
      </c>
    </row>
    <row r="155" spans="1:11">
      <c r="A155" s="22" t="s">
        <v>76</v>
      </c>
      <c r="B155" s="6" t="s">
        <v>375</v>
      </c>
      <c r="C155" s="6" t="s">
        <v>78</v>
      </c>
      <c r="D155" s="6" t="s">
        <v>79</v>
      </c>
      <c r="E155" s="6" t="s">
        <v>66</v>
      </c>
      <c r="F155" s="6" t="s">
        <v>40</v>
      </c>
      <c r="G155" s="6" t="s">
        <v>51</v>
      </c>
      <c r="H155" s="9">
        <v>1.0900000000000001</v>
      </c>
      <c r="I155" s="9">
        <v>0.8</v>
      </c>
      <c r="J155">
        <f>INDEX(Cantones!C:C,MATCH(Tabelle2[[#This Row],[Cantón]],Cantones!A:A,0))</f>
        <v>-0.26551140000000001</v>
      </c>
      <c r="K155">
        <f>INDEX(Cantones!D:D,MATCH(Tabelle2[[#This Row],[Cantón]],Cantones!A:A,0))</f>
        <v>-75.892069199999995</v>
      </c>
    </row>
    <row r="156" spans="1:11">
      <c r="A156" s="4" t="s">
        <v>76</v>
      </c>
      <c r="B156" s="4" t="s">
        <v>259</v>
      </c>
      <c r="C156" s="4" t="s">
        <v>78</v>
      </c>
      <c r="D156" s="4" t="s">
        <v>79</v>
      </c>
      <c r="E156" s="4" t="s">
        <v>66</v>
      </c>
      <c r="F156" s="4" t="s">
        <v>40</v>
      </c>
      <c r="G156" s="4" t="s">
        <v>51</v>
      </c>
      <c r="H156" s="8">
        <v>3.82</v>
      </c>
      <c r="I156" s="8">
        <v>3</v>
      </c>
      <c r="J156">
        <f>INDEX(Cantones!C:C,MATCH(Tabelle2[[#This Row],[Cantón]],Cantones!A:A,0))</f>
        <v>-0.26551140000000001</v>
      </c>
      <c r="K156">
        <f>INDEX(Cantones!D:D,MATCH(Tabelle2[[#This Row],[Cantón]],Cantones!A:A,0))</f>
        <v>-75.892069199999995</v>
      </c>
    </row>
    <row r="157" spans="1:11">
      <c r="A157" s="6" t="s">
        <v>16</v>
      </c>
      <c r="B157" s="6" t="s">
        <v>35</v>
      </c>
      <c r="C157" s="6" t="s">
        <v>18</v>
      </c>
      <c r="D157" s="6" t="s">
        <v>19</v>
      </c>
      <c r="E157" s="6" t="s">
        <v>13</v>
      </c>
      <c r="F157" s="6" t="s">
        <v>14</v>
      </c>
      <c r="G157" s="6" t="s">
        <v>20</v>
      </c>
      <c r="H157" s="9">
        <v>170</v>
      </c>
      <c r="I157" s="9">
        <v>170</v>
      </c>
      <c r="J157">
        <f>INDEX(Cantones!C:C,MATCH(Tabelle2[[#This Row],[Cantón]],Cantones!A:A,0))</f>
        <v>-2.7051607999999998</v>
      </c>
      <c r="K157">
        <f>INDEX(Cantones!D:D,MATCH(Tabelle2[[#This Row],[Cantón]],Cantones!A:A,0))</f>
        <v>-78.601438700000003</v>
      </c>
    </row>
    <row r="158" spans="1:11">
      <c r="A158" s="4" t="s">
        <v>210</v>
      </c>
      <c r="B158" s="4" t="s">
        <v>211</v>
      </c>
      <c r="C158" s="4" t="s">
        <v>65</v>
      </c>
      <c r="D158" s="4" t="s">
        <v>65</v>
      </c>
      <c r="E158" s="4" t="s">
        <v>66</v>
      </c>
      <c r="F158" s="4" t="s">
        <v>40</v>
      </c>
      <c r="G158" s="4" t="s">
        <v>51</v>
      </c>
      <c r="H158" s="8">
        <v>9.5500000000000007</v>
      </c>
      <c r="I158" s="8">
        <v>7.4</v>
      </c>
      <c r="J158">
        <f>INDEX(Cantones!C:C,MATCH(Tabelle2[[#This Row],[Cantón]],Cantones!A:A,0))</f>
        <v>-0.78617999999999999</v>
      </c>
      <c r="K158">
        <f>INDEX(Cantones!D:D,MATCH(Tabelle2[[#This Row],[Cantón]],Cantones!A:A,0))</f>
        <v>-76.480318400000002</v>
      </c>
    </row>
    <row r="159" spans="1:11">
      <c r="A159" s="6" t="s">
        <v>22</v>
      </c>
      <c r="B159" s="6" t="s">
        <v>23</v>
      </c>
      <c r="C159" s="6" t="s">
        <v>18</v>
      </c>
      <c r="D159" s="27" t="s">
        <v>521</v>
      </c>
      <c r="E159" s="6" t="s">
        <v>13</v>
      </c>
      <c r="F159" s="6" t="s">
        <v>14</v>
      </c>
      <c r="G159" s="6" t="s">
        <v>15</v>
      </c>
      <c r="H159" s="9">
        <v>275</v>
      </c>
      <c r="I159" s="9">
        <v>274.5</v>
      </c>
      <c r="J159">
        <f>INDEX(Cantones!C:C,MATCH(Tabelle2[[#This Row],[Cantón]],Cantones!A:A,0))</f>
        <v>-3.1748913000000001</v>
      </c>
      <c r="K159">
        <f>INDEX(Cantones!D:D,MATCH(Tabelle2[[#This Row],[Cantón]],Cantones!A:A,0))</f>
        <v>-79.514712700000004</v>
      </c>
    </row>
    <row r="160" spans="1:11">
      <c r="A160" s="13" t="s">
        <v>48</v>
      </c>
      <c r="B160" s="4" t="s">
        <v>108</v>
      </c>
      <c r="C160" s="4" t="s">
        <v>50</v>
      </c>
      <c r="D160" s="4" t="s">
        <v>109</v>
      </c>
      <c r="E160" s="4" t="s">
        <v>13</v>
      </c>
      <c r="F160" s="4" t="s">
        <v>40</v>
      </c>
      <c r="G160" s="4" t="s">
        <v>51</v>
      </c>
      <c r="H160" s="8">
        <v>49.8</v>
      </c>
      <c r="I160" s="8">
        <v>39.4</v>
      </c>
      <c r="J160">
        <f>INDEX(Cantones!C:C,MATCH(Tabelle2[[#This Row],[Cantón]],Cantones!A:A,0))</f>
        <v>-1.0321775</v>
      </c>
      <c r="K160">
        <f>INDEX(Cantones!D:D,MATCH(Tabelle2[[#This Row],[Cantón]],Cantones!A:A,0))</f>
        <v>-80.822216699999998</v>
      </c>
    </row>
    <row r="161" spans="1:11">
      <c r="A161" s="4" t="s">
        <v>63</v>
      </c>
      <c r="B161" s="4" t="s">
        <v>301</v>
      </c>
      <c r="C161" s="4" t="s">
        <v>65</v>
      </c>
      <c r="D161" s="4" t="s">
        <v>65</v>
      </c>
      <c r="E161" s="4" t="s">
        <v>66</v>
      </c>
      <c r="F161" s="4" t="s">
        <v>40</v>
      </c>
      <c r="G161" s="4" t="s">
        <v>51</v>
      </c>
      <c r="H161" s="8">
        <v>2.6</v>
      </c>
      <c r="I161" s="8">
        <v>1.74</v>
      </c>
      <c r="J161">
        <f>INDEX(Cantones!C:C,MATCH(Tabelle2[[#This Row],[Cantón]],Cantones!A:A,0))</f>
        <v>-0.78617999999999999</v>
      </c>
      <c r="K161">
        <f>INDEX(Cantones!D:D,MATCH(Tabelle2[[#This Row],[Cantón]],Cantones!A:A,0))</f>
        <v>-76.480318400000002</v>
      </c>
    </row>
    <row r="162" spans="1:11">
      <c r="A162" s="22" t="s">
        <v>351</v>
      </c>
      <c r="B162" s="6" t="s">
        <v>352</v>
      </c>
      <c r="C162" s="6" t="s">
        <v>149</v>
      </c>
      <c r="D162" s="6" t="s">
        <v>234</v>
      </c>
      <c r="E162" s="6" t="s">
        <v>13</v>
      </c>
      <c r="F162" s="6" t="s">
        <v>289</v>
      </c>
      <c r="G162" s="6" t="s">
        <v>289</v>
      </c>
      <c r="H162" s="9">
        <v>1</v>
      </c>
      <c r="I162" s="9">
        <v>1</v>
      </c>
      <c r="J162">
        <f>INDEX(Cantones!C:C,MATCH(Tabelle2[[#This Row],[Cantón]],Cantones!A:A,0))</f>
        <v>-0.93362149999999999</v>
      </c>
      <c r="K162">
        <f>INDEX(Cantones!D:D,MATCH(Tabelle2[[#This Row],[Cantón]],Cantones!A:A,0))</f>
        <v>-78.615048799999997</v>
      </c>
    </row>
    <row r="163" spans="1:11">
      <c r="A163" s="6" t="s">
        <v>76</v>
      </c>
      <c r="B163" s="6" t="s">
        <v>250</v>
      </c>
      <c r="C163" s="6" t="s">
        <v>65</v>
      </c>
      <c r="D163" s="6" t="s">
        <v>65</v>
      </c>
      <c r="E163" s="6" t="s">
        <v>66</v>
      </c>
      <c r="F163" s="6" t="s">
        <v>40</v>
      </c>
      <c r="G163" s="6" t="s">
        <v>51</v>
      </c>
      <c r="H163" s="9">
        <v>4.4400000000000004</v>
      </c>
      <c r="I163" s="9">
        <v>3.88</v>
      </c>
      <c r="J163">
        <f>INDEX(Cantones!C:C,MATCH(Tabelle2[[#This Row],[Cantón]],Cantones!A:A,0))</f>
        <v>-0.78617999999999999</v>
      </c>
      <c r="K163">
        <f>INDEX(Cantones!D:D,MATCH(Tabelle2[[#This Row],[Cantón]],Cantones!A:A,0))</f>
        <v>-76.480318400000002</v>
      </c>
    </row>
    <row r="164" spans="1:11">
      <c r="A164" s="4" t="s">
        <v>76</v>
      </c>
      <c r="B164" s="4" t="s">
        <v>292</v>
      </c>
      <c r="C164" s="4" t="s">
        <v>65</v>
      </c>
      <c r="D164" s="4" t="s">
        <v>65</v>
      </c>
      <c r="E164" s="4" t="s">
        <v>66</v>
      </c>
      <c r="F164" s="4" t="s">
        <v>40</v>
      </c>
      <c r="G164" s="4" t="s">
        <v>51</v>
      </c>
      <c r="H164" s="8">
        <v>2.46</v>
      </c>
      <c r="I164" s="8">
        <v>1.97</v>
      </c>
      <c r="J164">
        <f>INDEX(Cantones!C:C,MATCH(Tabelle2[[#This Row],[Cantón]],Cantones!A:A,0))</f>
        <v>-0.78617999999999999</v>
      </c>
      <c r="K164">
        <f>INDEX(Cantones!D:D,MATCH(Tabelle2[[#This Row],[Cantón]],Cantones!A:A,0))</f>
        <v>-76.480318400000002</v>
      </c>
    </row>
    <row r="165" spans="1:11">
      <c r="A165" s="4" t="s">
        <v>76</v>
      </c>
      <c r="B165" s="4" t="s">
        <v>239</v>
      </c>
      <c r="C165" s="4" t="s">
        <v>65</v>
      </c>
      <c r="D165" s="4" t="s">
        <v>65</v>
      </c>
      <c r="E165" s="4" t="s">
        <v>66</v>
      </c>
      <c r="F165" s="4" t="s">
        <v>40</v>
      </c>
      <c r="G165" s="4" t="s">
        <v>51</v>
      </c>
      <c r="H165" s="8">
        <v>5.58</v>
      </c>
      <c r="I165" s="8">
        <v>4.33</v>
      </c>
      <c r="J165">
        <f>INDEX(Cantones!C:C,MATCH(Tabelle2[[#This Row],[Cantón]],Cantones!A:A,0))</f>
        <v>-0.78617999999999999</v>
      </c>
      <c r="K165">
        <f>INDEX(Cantones!D:D,MATCH(Tabelle2[[#This Row],[Cantón]],Cantones!A:A,0))</f>
        <v>-76.480318400000002</v>
      </c>
    </row>
    <row r="166" spans="1:11">
      <c r="A166" s="16" t="s">
        <v>106</v>
      </c>
      <c r="B166" s="4" t="s">
        <v>125</v>
      </c>
      <c r="C166" s="4" t="s">
        <v>87</v>
      </c>
      <c r="D166" s="4" t="s">
        <v>97</v>
      </c>
      <c r="E166" s="4" t="s">
        <v>13</v>
      </c>
      <c r="F166" s="4" t="s">
        <v>14</v>
      </c>
      <c r="G166" s="4" t="s">
        <v>15</v>
      </c>
      <c r="H166" s="8">
        <v>29.7</v>
      </c>
      <c r="I166" s="8">
        <v>29.7</v>
      </c>
      <c r="J166">
        <f>INDEX(Cantones!C:C,MATCH(Tabelle2[[#This Row],[Cantón]],Cantones!A:A,0))</f>
        <v>-0.21549199999999999</v>
      </c>
      <c r="K166">
        <f>INDEX(Cantones!D:D,MATCH(Tabelle2[[#This Row],[Cantón]],Cantones!A:A,0))</f>
        <v>-78.501364800000005</v>
      </c>
    </row>
    <row r="167" spans="1:11">
      <c r="A167" s="4" t="s">
        <v>63</v>
      </c>
      <c r="B167" s="4" t="s">
        <v>307</v>
      </c>
      <c r="C167" s="4" t="s">
        <v>65</v>
      </c>
      <c r="D167" s="4" t="s">
        <v>100</v>
      </c>
      <c r="E167" s="4" t="s">
        <v>66</v>
      </c>
      <c r="F167" s="4" t="s">
        <v>40</v>
      </c>
      <c r="G167" s="4" t="s">
        <v>51</v>
      </c>
      <c r="H167" s="8">
        <v>4.08</v>
      </c>
      <c r="I167" s="8">
        <v>1.58</v>
      </c>
      <c r="J167">
        <f>INDEX(Cantones!C:C,MATCH(Tabelle2[[#This Row],[Cantón]],Cantones!A:A,0))</f>
        <v>-0.98462320000000003</v>
      </c>
      <c r="K167">
        <f>INDEX(Cantones!D:D,MATCH(Tabelle2[[#This Row],[Cantón]],Cantones!A:A,0))</f>
        <v>-75.989153299999998</v>
      </c>
    </row>
    <row r="168" spans="1:11">
      <c r="A168" s="22" t="s">
        <v>181</v>
      </c>
      <c r="B168" s="6" t="s">
        <v>382</v>
      </c>
      <c r="C168" s="6" t="s">
        <v>183</v>
      </c>
      <c r="D168" s="27" t="s">
        <v>541</v>
      </c>
      <c r="E168" s="6" t="s">
        <v>66</v>
      </c>
      <c r="F168" s="6" t="s">
        <v>14</v>
      </c>
      <c r="G168" s="6" t="s">
        <v>15</v>
      </c>
      <c r="H168" s="9">
        <v>0.8</v>
      </c>
      <c r="I168" s="9">
        <v>0.75</v>
      </c>
      <c r="J168">
        <f>INDEX(Cantones!C:C,MATCH(Tabelle2[[#This Row],[Cantón]],Cantones!A:A,0))</f>
        <v>-2.1972999999999998</v>
      </c>
      <c r="K168">
        <f>INDEX(Cantones!D:D,MATCH(Tabelle2[[#This Row],[Cantón]],Cantones!A:A,0))</f>
        <v>-78.847300000000004</v>
      </c>
    </row>
    <row r="169" spans="1:11">
      <c r="A169" s="11" t="s">
        <v>94</v>
      </c>
      <c r="B169" s="27" t="s">
        <v>564</v>
      </c>
      <c r="C169" s="6" t="s">
        <v>89</v>
      </c>
      <c r="D169" s="6" t="s">
        <v>95</v>
      </c>
      <c r="E169" s="6" t="s">
        <v>13</v>
      </c>
      <c r="F169" s="6" t="s">
        <v>14</v>
      </c>
      <c r="G169" s="6" t="s">
        <v>15</v>
      </c>
      <c r="H169" s="9">
        <v>49.58</v>
      </c>
      <c r="I169" s="9">
        <v>49.58</v>
      </c>
      <c r="J169">
        <f>INDEX(Cantones!C:C,MATCH(Tabelle2[[#This Row],[Cantón]],Cantones!A:A,0))</f>
        <v>-2.4303097</v>
      </c>
      <c r="K169">
        <f>INDEX(Cantones!D:D,MATCH(Tabelle2[[#This Row],[Cantón]],Cantones!A:A,0))</f>
        <v>-77.880191999999994</v>
      </c>
    </row>
    <row r="170" spans="1:11">
      <c r="A170" s="4" t="s">
        <v>163</v>
      </c>
      <c r="B170" s="4" t="s">
        <v>423</v>
      </c>
      <c r="C170" s="4" t="s">
        <v>87</v>
      </c>
      <c r="D170" s="4" t="s">
        <v>97</v>
      </c>
      <c r="E170" s="4" t="s">
        <v>13</v>
      </c>
      <c r="F170" s="4" t="s">
        <v>14</v>
      </c>
      <c r="G170" s="4" t="s">
        <v>15</v>
      </c>
      <c r="H170" s="8">
        <v>0.3</v>
      </c>
      <c r="I170" s="8">
        <v>0.3</v>
      </c>
      <c r="J170">
        <f>INDEX(Cantones!C:C,MATCH(Tabelle2[[#This Row],[Cantón]],Cantones!A:A,0))</f>
        <v>-0.21549199999999999</v>
      </c>
      <c r="K170">
        <f>INDEX(Cantones!D:D,MATCH(Tabelle2[[#This Row],[Cantón]],Cantones!A:A,0))</f>
        <v>-78.501364800000005</v>
      </c>
    </row>
    <row r="171" spans="1:11">
      <c r="A171" s="4" t="s">
        <v>135</v>
      </c>
      <c r="B171" s="4" t="s">
        <v>136</v>
      </c>
      <c r="C171" s="4" t="s">
        <v>129</v>
      </c>
      <c r="D171" s="4" t="s">
        <v>129</v>
      </c>
      <c r="E171" s="4" t="s">
        <v>13</v>
      </c>
      <c r="F171" s="4" t="s">
        <v>14</v>
      </c>
      <c r="G171" s="4" t="s">
        <v>15</v>
      </c>
      <c r="H171" s="8">
        <v>26.1</v>
      </c>
      <c r="I171" s="8">
        <v>26.1</v>
      </c>
      <c r="J171">
        <f>INDEX(Cantones!C:C,MATCH(Tabelle2[[#This Row],[Cantón]],Cantones!A:A,0))</f>
        <v>-2.5541999999999998</v>
      </c>
      <c r="K171">
        <f>INDEX(Cantones!D:D,MATCH(Tabelle2[[#This Row],[Cantón]],Cantones!A:A,0))</f>
        <v>-78.939099999999996</v>
      </c>
    </row>
    <row r="172" spans="1:11">
      <c r="A172" s="11" t="s">
        <v>63</v>
      </c>
      <c r="B172" s="6" t="s">
        <v>126</v>
      </c>
      <c r="C172" s="6" t="s">
        <v>11</v>
      </c>
      <c r="D172" s="6" t="s">
        <v>111</v>
      </c>
      <c r="E172" s="6" t="s">
        <v>66</v>
      </c>
      <c r="F172" s="6" t="s">
        <v>40</v>
      </c>
      <c r="G172" s="6" t="s">
        <v>51</v>
      </c>
      <c r="H172" s="9">
        <v>40</v>
      </c>
      <c r="I172" s="9">
        <v>29.57</v>
      </c>
      <c r="J172">
        <f>INDEX(Cantones!C:C,MATCH(Tabelle2[[#This Row],[Cantón]],Cantones!A:A,0))</f>
        <v>-0.94387180000000004</v>
      </c>
      <c r="K172">
        <f>INDEX(Cantones!D:D,MATCH(Tabelle2[[#This Row],[Cantón]],Cantones!A:A,0))</f>
        <v>-78.108398199999996</v>
      </c>
    </row>
    <row r="173" spans="1:11">
      <c r="A173" s="6" t="s">
        <v>406</v>
      </c>
      <c r="B173" s="6" t="s">
        <v>408</v>
      </c>
      <c r="C173" s="6" t="s">
        <v>83</v>
      </c>
      <c r="D173" s="6" t="s">
        <v>139</v>
      </c>
      <c r="E173" s="6" t="s">
        <v>66</v>
      </c>
      <c r="F173" s="6" t="s">
        <v>14</v>
      </c>
      <c r="G173" s="6" t="s">
        <v>15</v>
      </c>
      <c r="H173" s="9">
        <v>0.4</v>
      </c>
      <c r="I173" s="9">
        <v>0.4</v>
      </c>
      <c r="J173">
        <f>INDEX(Cantones!C:C,MATCH(Tabelle2[[#This Row],[Cantón]],Cantones!A:A,0))</f>
        <v>0.23330000000000001</v>
      </c>
      <c r="K173">
        <f>INDEX(Cantones!D:D,MATCH(Tabelle2[[#This Row],[Cantón]],Cantones!A:A,0))</f>
        <v>-78.2667</v>
      </c>
    </row>
    <row r="174" spans="1:11">
      <c r="A174" s="4" t="s">
        <v>406</v>
      </c>
      <c r="B174" s="4" t="s">
        <v>407</v>
      </c>
      <c r="C174" s="4" t="s">
        <v>83</v>
      </c>
      <c r="D174" s="4" t="s">
        <v>139</v>
      </c>
      <c r="E174" s="4" t="s">
        <v>13</v>
      </c>
      <c r="F174" s="4" t="s">
        <v>14</v>
      </c>
      <c r="G174" s="4" t="s">
        <v>15</v>
      </c>
      <c r="H174" s="8">
        <v>0.4</v>
      </c>
      <c r="I174" s="8">
        <v>0.4</v>
      </c>
      <c r="J174">
        <f>INDEX(Cantones!C:C,MATCH(Tabelle2[[#This Row],[Cantón]],Cantones!A:A,0))</f>
        <v>0.23330000000000001</v>
      </c>
      <c r="K174">
        <f>INDEX(Cantones!D:D,MATCH(Tabelle2[[#This Row],[Cantón]],Cantones!A:A,0))</f>
        <v>-78.2667</v>
      </c>
    </row>
    <row r="175" spans="1:11">
      <c r="A175" s="6" t="s">
        <v>63</v>
      </c>
      <c r="B175" s="6" t="s">
        <v>428</v>
      </c>
      <c r="C175" s="6" t="s">
        <v>78</v>
      </c>
      <c r="D175" s="6" t="s">
        <v>134</v>
      </c>
      <c r="E175" s="6" t="s">
        <v>66</v>
      </c>
      <c r="F175" s="6" t="s">
        <v>40</v>
      </c>
      <c r="G175" s="6" t="s">
        <v>51</v>
      </c>
      <c r="H175" s="9">
        <v>0.35</v>
      </c>
      <c r="I175" s="9">
        <v>0.28000000000000003</v>
      </c>
      <c r="J175">
        <f>INDEX(Cantones!C:C,MATCH(Tabelle2[[#This Row],[Cantón]],Cantones!A:A,0))</f>
        <v>8.5400000000000004E-2</v>
      </c>
      <c r="K175">
        <f>INDEX(Cantones!D:D,MATCH(Tabelle2[[#This Row],[Cantón]],Cantones!A:A,0))</f>
        <v>-76.891499999999994</v>
      </c>
    </row>
    <row r="176" spans="1:11">
      <c r="A176" s="6" t="s">
        <v>63</v>
      </c>
      <c r="B176" s="6" t="s">
        <v>399</v>
      </c>
      <c r="C176" s="6" t="s">
        <v>65</v>
      </c>
      <c r="D176" s="6" t="s">
        <v>122</v>
      </c>
      <c r="E176" s="6" t="s">
        <v>66</v>
      </c>
      <c r="F176" s="6" t="s">
        <v>40</v>
      </c>
      <c r="G176" s="6" t="s">
        <v>51</v>
      </c>
      <c r="H176" s="9">
        <v>2.73</v>
      </c>
      <c r="I176" s="9">
        <v>0.5</v>
      </c>
      <c r="J176">
        <f>INDEX(Cantones!C:C,MATCH(Tabelle2[[#This Row],[Cantón]],Cantones!A:A,0))</f>
        <v>-0.2611097</v>
      </c>
      <c r="K176">
        <f>INDEX(Cantones!D:D,MATCH(Tabelle2[[#This Row],[Cantón]],Cantones!A:A,0))</f>
        <v>-76.9080096</v>
      </c>
    </row>
    <row r="177" spans="1:11">
      <c r="A177" s="11" t="s">
        <v>63</v>
      </c>
      <c r="B177" s="6" t="s">
        <v>236</v>
      </c>
      <c r="C177" s="6" t="s">
        <v>65</v>
      </c>
      <c r="D177" s="6" t="s">
        <v>122</v>
      </c>
      <c r="E177" s="6" t="s">
        <v>66</v>
      </c>
      <c r="F177" s="6" t="s">
        <v>40</v>
      </c>
      <c r="G177" s="6" t="s">
        <v>51</v>
      </c>
      <c r="H177" s="9">
        <v>8.74</v>
      </c>
      <c r="I177" s="9">
        <v>4.75</v>
      </c>
      <c r="J177">
        <f>INDEX(Cantones!C:C,MATCH(Tabelle2[[#This Row],[Cantón]],Cantones!A:A,0))</f>
        <v>-0.2611097</v>
      </c>
      <c r="K177">
        <f>INDEX(Cantones!D:D,MATCH(Tabelle2[[#This Row],[Cantón]],Cantones!A:A,0))</f>
        <v>-76.9080096</v>
      </c>
    </row>
    <row r="178" spans="1:11">
      <c r="A178" s="4" t="s">
        <v>63</v>
      </c>
      <c r="B178" s="4" t="s">
        <v>294</v>
      </c>
      <c r="C178" s="4" t="s">
        <v>65</v>
      </c>
      <c r="D178" s="4" t="s">
        <v>122</v>
      </c>
      <c r="E178" s="4" t="s">
        <v>66</v>
      </c>
      <c r="F178" s="4" t="s">
        <v>40</v>
      </c>
      <c r="G178" s="4" t="s">
        <v>51</v>
      </c>
      <c r="H178" s="8">
        <v>3.25</v>
      </c>
      <c r="I178" s="8">
        <v>1.85</v>
      </c>
      <c r="J178">
        <f>INDEX(Cantones!C:C,MATCH(Tabelle2[[#This Row],[Cantón]],Cantones!A:A,0))</f>
        <v>-0.2611097</v>
      </c>
      <c r="K178">
        <f>INDEX(Cantones!D:D,MATCH(Tabelle2[[#This Row],[Cantón]],Cantones!A:A,0))</f>
        <v>-76.9080096</v>
      </c>
    </row>
    <row r="179" spans="1:11">
      <c r="A179" s="11" t="s">
        <v>63</v>
      </c>
      <c r="B179" s="6" t="s">
        <v>242</v>
      </c>
      <c r="C179" s="6" t="s">
        <v>78</v>
      </c>
      <c r="D179" s="6" t="s">
        <v>102</v>
      </c>
      <c r="E179" s="6" t="s">
        <v>66</v>
      </c>
      <c r="F179" s="6" t="s">
        <v>40</v>
      </c>
      <c r="G179" s="6" t="s">
        <v>51</v>
      </c>
      <c r="H179" s="9">
        <v>6.62</v>
      </c>
      <c r="I179" s="9">
        <v>4.1500000000000004</v>
      </c>
      <c r="J179">
        <f>INDEX(Cantones!C:C,MATCH(Tabelle2[[#This Row],[Cantón]],Cantones!A:A,0))</f>
        <v>-0.28860940000000002</v>
      </c>
      <c r="K179">
        <f>INDEX(Cantones!D:D,MATCH(Tabelle2[[#This Row],[Cantón]],Cantones!A:A,0))</f>
        <v>-76.590663199999995</v>
      </c>
    </row>
    <row r="180" spans="1:11">
      <c r="A180" s="15" t="s">
        <v>63</v>
      </c>
      <c r="B180" s="4" t="s">
        <v>123</v>
      </c>
      <c r="C180" s="4" t="s">
        <v>65</v>
      </c>
      <c r="D180" s="4" t="s">
        <v>122</v>
      </c>
      <c r="E180" s="4" t="s">
        <v>66</v>
      </c>
      <c r="F180" s="4" t="s">
        <v>40</v>
      </c>
      <c r="G180" s="4" t="s">
        <v>41</v>
      </c>
      <c r="H180" s="8">
        <v>38.9</v>
      </c>
      <c r="I180" s="8">
        <v>33.18</v>
      </c>
      <c r="J180">
        <f>INDEX(Cantones!C:C,MATCH(Tabelle2[[#This Row],[Cantón]],Cantones!A:A,0))</f>
        <v>-0.2611097</v>
      </c>
      <c r="K180">
        <f>INDEX(Cantones!D:D,MATCH(Tabelle2[[#This Row],[Cantón]],Cantones!A:A,0))</f>
        <v>-76.9080096</v>
      </c>
    </row>
    <row r="181" spans="1:11">
      <c r="A181" s="6" t="s">
        <v>63</v>
      </c>
      <c r="B181" s="6" t="s">
        <v>444</v>
      </c>
      <c r="C181" s="6" t="s">
        <v>65</v>
      </c>
      <c r="D181" s="6" t="s">
        <v>65</v>
      </c>
      <c r="E181" s="6" t="s">
        <v>66</v>
      </c>
      <c r="F181" s="6" t="s">
        <v>40</v>
      </c>
      <c r="G181" s="6" t="s">
        <v>51</v>
      </c>
      <c r="H181" s="9">
        <v>0</v>
      </c>
      <c r="I181" s="9">
        <v>0.13</v>
      </c>
      <c r="J181">
        <f>INDEX(Cantones!C:C,MATCH(Tabelle2[[#This Row],[Cantón]],Cantones!A:A,0))</f>
        <v>-0.78617999999999999</v>
      </c>
      <c r="K181">
        <f>INDEX(Cantones!D:D,MATCH(Tabelle2[[#This Row],[Cantón]],Cantones!A:A,0))</f>
        <v>-76.480318400000002</v>
      </c>
    </row>
    <row r="182" spans="1:11">
      <c r="A182" s="4" t="s">
        <v>63</v>
      </c>
      <c r="B182" s="4" t="s">
        <v>418</v>
      </c>
      <c r="C182" s="4" t="s">
        <v>78</v>
      </c>
      <c r="D182" s="4" t="s">
        <v>102</v>
      </c>
      <c r="E182" s="4" t="s">
        <v>66</v>
      </c>
      <c r="F182" s="4" t="s">
        <v>40</v>
      </c>
      <c r="G182" s="4" t="s">
        <v>51</v>
      </c>
      <c r="H182" s="8">
        <v>1.23</v>
      </c>
      <c r="I182" s="8">
        <v>0.32</v>
      </c>
      <c r="J182">
        <f>INDEX(Cantones!C:C,MATCH(Tabelle2[[#This Row],[Cantón]],Cantones!A:A,0))</f>
        <v>-0.28860940000000002</v>
      </c>
      <c r="K182">
        <f>INDEX(Cantones!D:D,MATCH(Tabelle2[[#This Row],[Cantón]],Cantones!A:A,0))</f>
        <v>-76.590663199999995</v>
      </c>
    </row>
    <row r="183" spans="1:11">
      <c r="A183" s="11" t="s">
        <v>411</v>
      </c>
      <c r="B183" s="6" t="s">
        <v>412</v>
      </c>
      <c r="C183" s="6" t="s">
        <v>89</v>
      </c>
      <c r="D183" s="6" t="s">
        <v>413</v>
      </c>
      <c r="E183" s="6" t="s">
        <v>66</v>
      </c>
      <c r="F183" s="6" t="s">
        <v>289</v>
      </c>
      <c r="G183" s="6" t="s">
        <v>289</v>
      </c>
      <c r="H183" s="9">
        <v>0.37</v>
      </c>
      <c r="I183" s="9">
        <v>0.37</v>
      </c>
      <c r="J183">
        <f>INDEX(Cantones!C:C,MATCH(Tabelle2[[#This Row],[Cantón]],Cantones!A:A,0))</f>
        <v>-2.6463000000000001</v>
      </c>
      <c r="K183">
        <f>INDEX(Cantones!D:D,MATCH(Tabelle2[[#This Row],[Cantón]],Cantones!A:A,0))</f>
        <v>-78.216700000000003</v>
      </c>
    </row>
    <row r="184" spans="1:11">
      <c r="A184" s="15" t="s">
        <v>252</v>
      </c>
      <c r="B184" s="42" t="s">
        <v>560</v>
      </c>
      <c r="C184" s="4" t="s">
        <v>116</v>
      </c>
      <c r="D184" s="4" t="s">
        <v>116</v>
      </c>
      <c r="E184" s="4" t="s">
        <v>66</v>
      </c>
      <c r="F184" s="4" t="s">
        <v>289</v>
      </c>
      <c r="G184" s="4" t="s">
        <v>289</v>
      </c>
      <c r="H184" s="8">
        <v>0.2</v>
      </c>
      <c r="I184" s="8">
        <v>0.2</v>
      </c>
      <c r="J184">
        <f>INDEX(Cantones!C:C,MATCH(Tabelle2[[#This Row],[Cantón]],Cantones!A:A,0))</f>
        <v>-1.9166669999999999</v>
      </c>
      <c r="K184">
        <f>INDEX(Cantones!D:D,MATCH(Tabelle2[[#This Row],[Cantón]],Cantones!A:A,0))</f>
        <v>-77</v>
      </c>
    </row>
    <row r="185" spans="1:11">
      <c r="A185" s="6" t="s">
        <v>217</v>
      </c>
      <c r="B185" s="6" t="s">
        <v>218</v>
      </c>
      <c r="C185" s="6" t="s">
        <v>11</v>
      </c>
      <c r="D185" s="6" t="s">
        <v>188</v>
      </c>
      <c r="E185" s="6" t="s">
        <v>13</v>
      </c>
      <c r="F185" s="6" t="s">
        <v>14</v>
      </c>
      <c r="G185" s="6" t="s">
        <v>15</v>
      </c>
      <c r="H185" s="9">
        <v>6.63</v>
      </c>
      <c r="I185" s="9">
        <v>6.2</v>
      </c>
      <c r="J185">
        <f>INDEX(Cantones!C:C,MATCH(Tabelle2[[#This Row],[Cantón]],Cantones!A:A,0))</f>
        <v>-0.22229670000000001</v>
      </c>
      <c r="K185">
        <f>INDEX(Cantones!D:D,MATCH(Tabelle2[[#This Row],[Cantón]],Cantones!A:A,0))</f>
        <v>-78.523431299999999</v>
      </c>
    </row>
    <row r="186" spans="1:11">
      <c r="A186" s="6" t="s">
        <v>354</v>
      </c>
      <c r="B186" s="6" t="s">
        <v>355</v>
      </c>
      <c r="C186" s="6" t="s">
        <v>83</v>
      </c>
      <c r="D186" s="6" t="s">
        <v>356</v>
      </c>
      <c r="E186" s="6" t="s">
        <v>13</v>
      </c>
      <c r="F186" s="6" t="s">
        <v>289</v>
      </c>
      <c r="G186" s="6" t="s">
        <v>289</v>
      </c>
      <c r="H186" s="9">
        <v>1</v>
      </c>
      <c r="I186" s="9">
        <v>1</v>
      </c>
      <c r="J186">
        <f>INDEX(Cantones!C:C,MATCH(Tabelle2[[#This Row],[Cantón]],Cantones!A:A,0))</f>
        <v>0.39246120000000001</v>
      </c>
      <c r="K186">
        <f>INDEX(Cantones!D:D,MATCH(Tabelle2[[#This Row],[Cantón]],Cantones!A:A,0))</f>
        <v>-77.940295699999993</v>
      </c>
    </row>
    <row r="187" spans="1:11">
      <c r="A187" s="4" t="s">
        <v>219</v>
      </c>
      <c r="B187" s="4" t="s">
        <v>267</v>
      </c>
      <c r="C187" s="4" t="s">
        <v>11</v>
      </c>
      <c r="D187" s="4" t="s">
        <v>188</v>
      </c>
      <c r="E187" s="4" t="s">
        <v>66</v>
      </c>
      <c r="F187" s="4" t="s">
        <v>40</v>
      </c>
      <c r="G187" s="4" t="s">
        <v>51</v>
      </c>
      <c r="H187" s="8">
        <v>3.36</v>
      </c>
      <c r="I187" s="8">
        <v>2.56</v>
      </c>
      <c r="J187">
        <f>INDEX(Cantones!C:C,MATCH(Tabelle2[[#This Row],[Cantón]],Cantones!A:A,0))</f>
        <v>-0.22229670000000001</v>
      </c>
      <c r="K187">
        <f>INDEX(Cantones!D:D,MATCH(Tabelle2[[#This Row],[Cantón]],Cantones!A:A,0))</f>
        <v>-78.523431299999999</v>
      </c>
    </row>
    <row r="188" spans="1:11">
      <c r="A188" s="16" t="s">
        <v>106</v>
      </c>
      <c r="B188" s="4" t="s">
        <v>237</v>
      </c>
      <c r="C188" s="4" t="s">
        <v>87</v>
      </c>
      <c r="D188" s="33" t="s">
        <v>529</v>
      </c>
      <c r="E188" s="4" t="s">
        <v>13</v>
      </c>
      <c r="F188" s="4" t="s">
        <v>14</v>
      </c>
      <c r="G188" s="4" t="s">
        <v>15</v>
      </c>
      <c r="H188" s="8">
        <v>4.5</v>
      </c>
      <c r="I188" s="8">
        <v>4.5</v>
      </c>
      <c r="J188">
        <f>INDEX(Cantones!C:C,MATCH(Tabelle2[[#This Row],[Cantón]],Cantones!A:A,0))</f>
        <v>-0.49847740000000001</v>
      </c>
      <c r="K188">
        <f>INDEX(Cantones!D:D,MATCH(Tabelle2[[#This Row],[Cantón]],Cantones!A:A,0))</f>
        <v>-78.651691499999998</v>
      </c>
    </row>
    <row r="189" spans="1:11">
      <c r="A189" s="23" t="s">
        <v>351</v>
      </c>
      <c r="B189" s="4" t="s">
        <v>353</v>
      </c>
      <c r="C189" s="4" t="s">
        <v>149</v>
      </c>
      <c r="D189" s="4" t="s">
        <v>234</v>
      </c>
      <c r="E189" s="4" t="s">
        <v>13</v>
      </c>
      <c r="F189" s="4" t="s">
        <v>289</v>
      </c>
      <c r="G189" s="4" t="s">
        <v>289</v>
      </c>
      <c r="H189" s="8">
        <v>1</v>
      </c>
      <c r="I189" s="8">
        <v>1</v>
      </c>
      <c r="J189">
        <f>INDEX(Cantones!C:C,MATCH(Tabelle2[[#This Row],[Cantón]],Cantones!A:A,0))</f>
        <v>-0.93362149999999999</v>
      </c>
      <c r="K189">
        <f>INDEX(Cantones!D:D,MATCH(Tabelle2[[#This Row],[Cantón]],Cantones!A:A,0))</f>
        <v>-78.615048799999997</v>
      </c>
    </row>
    <row r="190" spans="1:11">
      <c r="A190" s="6" t="s">
        <v>16</v>
      </c>
      <c r="B190" s="6" t="s">
        <v>17</v>
      </c>
      <c r="C190" s="6" t="s">
        <v>18</v>
      </c>
      <c r="D190" s="6" t="s">
        <v>19</v>
      </c>
      <c r="E190" s="6" t="s">
        <v>13</v>
      </c>
      <c r="F190" s="6" t="s">
        <v>14</v>
      </c>
      <c r="G190" s="6" t="s">
        <v>20</v>
      </c>
      <c r="H190" s="7">
        <v>1075</v>
      </c>
      <c r="I190" s="7">
        <v>1100</v>
      </c>
      <c r="J190">
        <f>INDEX(Cantones!C:C,MATCH(Tabelle2[[#This Row],[Cantón]],Cantones!A:A,0))</f>
        <v>-2.7051607999999998</v>
      </c>
      <c r="K190">
        <f>INDEX(Cantones!D:D,MATCH(Tabelle2[[#This Row],[Cantón]],Cantones!A:A,0))</f>
        <v>-78.601438700000003</v>
      </c>
    </row>
    <row r="191" spans="1:11">
      <c r="A191" s="6" t="s">
        <v>63</v>
      </c>
      <c r="B191" s="6" t="s">
        <v>176</v>
      </c>
      <c r="C191" s="6" t="s">
        <v>65</v>
      </c>
      <c r="D191" s="6" t="s">
        <v>65</v>
      </c>
      <c r="E191" s="6" t="s">
        <v>66</v>
      </c>
      <c r="F191" s="6" t="s">
        <v>40</v>
      </c>
      <c r="G191" s="6" t="s">
        <v>51</v>
      </c>
      <c r="H191" s="9">
        <v>16.72</v>
      </c>
      <c r="I191" s="9">
        <v>10.98</v>
      </c>
      <c r="J191">
        <f>INDEX(Cantones!C:C,MATCH(Tabelle2[[#This Row],[Cantón]],Cantones!A:A,0))</f>
        <v>-0.78617999999999999</v>
      </c>
      <c r="K191">
        <f>INDEX(Cantones!D:D,MATCH(Tabelle2[[#This Row],[Cantón]],Cantones!A:A,0))</f>
        <v>-76.480318400000002</v>
      </c>
    </row>
    <row r="192" spans="1:11">
      <c r="A192" s="6" t="s">
        <v>68</v>
      </c>
      <c r="B192" s="43" t="s">
        <v>561</v>
      </c>
      <c r="C192" s="6" t="s">
        <v>65</v>
      </c>
      <c r="D192" s="6" t="s">
        <v>65</v>
      </c>
      <c r="E192" s="6" t="s">
        <v>13</v>
      </c>
      <c r="F192" s="6" t="s">
        <v>40</v>
      </c>
      <c r="G192" s="6" t="s">
        <v>51</v>
      </c>
      <c r="H192" s="9">
        <v>2.5</v>
      </c>
      <c r="I192" s="9">
        <v>1.8</v>
      </c>
      <c r="J192">
        <f>INDEX(Cantones!C:C,MATCH(Tabelle2[[#This Row],[Cantón]],Cantones!A:A,0))</f>
        <v>-0.78617999999999999</v>
      </c>
      <c r="K192">
        <f>INDEX(Cantones!D:D,MATCH(Tabelle2[[#This Row],[Cantón]],Cantones!A:A,0))</f>
        <v>-76.480318400000002</v>
      </c>
    </row>
    <row r="193" spans="1:11">
      <c r="A193" s="4" t="s">
        <v>210</v>
      </c>
      <c r="B193" s="4" t="s">
        <v>435</v>
      </c>
      <c r="C193" s="4" t="s">
        <v>65</v>
      </c>
      <c r="D193" s="4" t="s">
        <v>65</v>
      </c>
      <c r="E193" s="4" t="s">
        <v>66</v>
      </c>
      <c r="F193" s="4" t="s">
        <v>40</v>
      </c>
      <c r="G193" s="4" t="s">
        <v>51</v>
      </c>
      <c r="H193" s="8">
        <v>0.28000000000000003</v>
      </c>
      <c r="I193" s="8">
        <v>0.2</v>
      </c>
      <c r="J193">
        <f>INDEX(Cantones!C:C,MATCH(Tabelle2[[#This Row],[Cantón]],Cantones!A:A,0))</f>
        <v>-0.78617999999999999</v>
      </c>
      <c r="K193">
        <f>INDEX(Cantones!D:D,MATCH(Tabelle2[[#This Row],[Cantón]],Cantones!A:A,0))</f>
        <v>-76.480318400000002</v>
      </c>
    </row>
    <row r="194" spans="1:11">
      <c r="A194" s="6" t="s">
        <v>210</v>
      </c>
      <c r="B194" s="6" t="s">
        <v>389</v>
      </c>
      <c r="C194" s="6" t="s">
        <v>65</v>
      </c>
      <c r="D194" s="6" t="s">
        <v>65</v>
      </c>
      <c r="E194" s="6" t="s">
        <v>66</v>
      </c>
      <c r="F194" s="6" t="s">
        <v>40</v>
      </c>
      <c r="G194" s="6" t="s">
        <v>51</v>
      </c>
      <c r="H194" s="9">
        <v>0.72</v>
      </c>
      <c r="I194" s="9">
        <v>0.7</v>
      </c>
      <c r="J194">
        <f>INDEX(Cantones!C:C,MATCH(Tabelle2[[#This Row],[Cantón]],Cantones!A:A,0))</f>
        <v>-0.78617999999999999</v>
      </c>
      <c r="K194">
        <f>INDEX(Cantones!D:D,MATCH(Tabelle2[[#This Row],[Cantón]],Cantones!A:A,0))</f>
        <v>-76.480318400000002</v>
      </c>
    </row>
    <row r="195" spans="1:11">
      <c r="A195" s="4" t="s">
        <v>210</v>
      </c>
      <c r="B195" s="4" t="s">
        <v>280</v>
      </c>
      <c r="C195" s="4" t="s">
        <v>65</v>
      </c>
      <c r="D195" s="4" t="s">
        <v>65</v>
      </c>
      <c r="E195" s="4" t="s">
        <v>66</v>
      </c>
      <c r="F195" s="4" t="s">
        <v>40</v>
      </c>
      <c r="G195" s="4" t="s">
        <v>51</v>
      </c>
      <c r="H195" s="8">
        <v>2.77</v>
      </c>
      <c r="I195" s="8">
        <v>2.2999999999999998</v>
      </c>
      <c r="J195">
        <f>INDEX(Cantones!C:C,MATCH(Tabelle2[[#This Row],[Cantón]],Cantones!A:A,0))</f>
        <v>-0.78617999999999999</v>
      </c>
      <c r="K195">
        <f>INDEX(Cantones!D:D,MATCH(Tabelle2[[#This Row],[Cantón]],Cantones!A:A,0))</f>
        <v>-76.480318400000002</v>
      </c>
    </row>
    <row r="196" spans="1:11">
      <c r="A196" s="4" t="s">
        <v>210</v>
      </c>
      <c r="B196" s="4" t="s">
        <v>398</v>
      </c>
      <c r="C196" s="4" t="s">
        <v>65</v>
      </c>
      <c r="D196" s="4" t="s">
        <v>65</v>
      </c>
      <c r="E196" s="4" t="s">
        <v>66</v>
      </c>
      <c r="F196" s="4" t="s">
        <v>40</v>
      </c>
      <c r="G196" s="4" t="s">
        <v>51</v>
      </c>
      <c r="H196" s="8">
        <v>0.56000000000000005</v>
      </c>
      <c r="I196" s="8">
        <v>0.5</v>
      </c>
      <c r="J196">
        <f>INDEX(Cantones!C:C,MATCH(Tabelle2[[#This Row],[Cantón]],Cantones!A:A,0))</f>
        <v>-0.78617999999999999</v>
      </c>
      <c r="K196">
        <f>INDEX(Cantones!D:D,MATCH(Tabelle2[[#This Row],[Cantón]],Cantones!A:A,0))</f>
        <v>-76.480318400000002</v>
      </c>
    </row>
    <row r="197" spans="1:11">
      <c r="A197" s="4" t="s">
        <v>210</v>
      </c>
      <c r="B197" s="4" t="s">
        <v>313</v>
      </c>
      <c r="C197" s="4" t="s">
        <v>65</v>
      </c>
      <c r="D197" s="4" t="s">
        <v>65</v>
      </c>
      <c r="E197" s="4" t="s">
        <v>66</v>
      </c>
      <c r="F197" s="4" t="s">
        <v>40</v>
      </c>
      <c r="G197" s="4" t="s">
        <v>51</v>
      </c>
      <c r="H197" s="8">
        <v>1.8</v>
      </c>
      <c r="I197" s="8">
        <v>1.5</v>
      </c>
      <c r="J197">
        <f>INDEX(Cantones!C:C,MATCH(Tabelle2[[#This Row],[Cantón]],Cantones!A:A,0))</f>
        <v>-0.78617999999999999</v>
      </c>
      <c r="K197">
        <f>INDEX(Cantones!D:D,MATCH(Tabelle2[[#This Row],[Cantón]],Cantones!A:A,0))</f>
        <v>-76.480318400000002</v>
      </c>
    </row>
    <row r="198" spans="1:11">
      <c r="A198" s="4" t="s">
        <v>210</v>
      </c>
      <c r="B198" s="4" t="s">
        <v>390</v>
      </c>
      <c r="C198" s="4" t="s">
        <v>65</v>
      </c>
      <c r="D198" s="4" t="s">
        <v>65</v>
      </c>
      <c r="E198" s="4" t="s">
        <v>66</v>
      </c>
      <c r="F198" s="4" t="s">
        <v>40</v>
      </c>
      <c r="G198" s="4" t="s">
        <v>51</v>
      </c>
      <c r="H198" s="8">
        <v>0.82</v>
      </c>
      <c r="I198" s="8">
        <v>0.7</v>
      </c>
      <c r="J198">
        <f>INDEX(Cantones!C:C,MATCH(Tabelle2[[#This Row],[Cantón]],Cantones!A:A,0))</f>
        <v>-0.78617999999999999</v>
      </c>
      <c r="K198">
        <f>INDEX(Cantones!D:D,MATCH(Tabelle2[[#This Row],[Cantón]],Cantones!A:A,0))</f>
        <v>-76.480318400000002</v>
      </c>
    </row>
    <row r="199" spans="1:11" ht="23">
      <c r="A199" s="6" t="s">
        <v>63</v>
      </c>
      <c r="B199" s="6" t="s">
        <v>446</v>
      </c>
      <c r="C199" s="6" t="s">
        <v>65</v>
      </c>
      <c r="D199" s="6" t="s">
        <v>65</v>
      </c>
      <c r="E199" s="6" t="s">
        <v>66</v>
      </c>
      <c r="F199" s="6" t="s">
        <v>40</v>
      </c>
      <c r="G199" s="6" t="s">
        <v>51</v>
      </c>
      <c r="H199" s="9">
        <v>0.15</v>
      </c>
      <c r="I199" s="9">
        <v>0.11</v>
      </c>
      <c r="J199">
        <f>INDEX(Cantones!C:C,MATCH(Tabelle2[[#This Row],[Cantón]],Cantones!A:A,0))</f>
        <v>-0.78617999999999999</v>
      </c>
      <c r="K199">
        <f>INDEX(Cantones!D:D,MATCH(Tabelle2[[#This Row],[Cantón]],Cantones!A:A,0))</f>
        <v>-76.480318400000002</v>
      </c>
    </row>
    <row r="200" spans="1:11">
      <c r="A200" s="13" t="s">
        <v>48</v>
      </c>
      <c r="B200" s="4" t="s">
        <v>249</v>
      </c>
      <c r="C200" s="4" t="s">
        <v>50</v>
      </c>
      <c r="D200" s="4" t="s">
        <v>249</v>
      </c>
      <c r="E200" s="4" t="s">
        <v>13</v>
      </c>
      <c r="F200" s="4" t="s">
        <v>40</v>
      </c>
      <c r="G200" s="4" t="s">
        <v>51</v>
      </c>
      <c r="H200" s="8">
        <v>5</v>
      </c>
      <c r="I200" s="8">
        <v>3.9</v>
      </c>
      <c r="J200">
        <f>INDEX(Cantones!C:C,MATCH(Tabelle2[[#This Row],[Cantón]],Cantones!A:A,0))</f>
        <v>7.1599999999999997E-2</v>
      </c>
      <c r="K200">
        <f>INDEX(Cantones!D:D,MATCH(Tabelle2[[#This Row],[Cantón]],Cantones!A:A,0))</f>
        <v>-79.997299999999996</v>
      </c>
    </row>
    <row r="201" spans="1:11">
      <c r="A201" s="15" t="s">
        <v>252</v>
      </c>
      <c r="B201" s="4" t="s">
        <v>263</v>
      </c>
      <c r="C201" s="4" t="s">
        <v>30</v>
      </c>
      <c r="D201" s="4" t="s">
        <v>254</v>
      </c>
      <c r="E201" s="4" t="s">
        <v>13</v>
      </c>
      <c r="F201" s="4" t="s">
        <v>14</v>
      </c>
      <c r="G201" s="4" t="s">
        <v>15</v>
      </c>
      <c r="H201" s="8">
        <v>3</v>
      </c>
      <c r="I201" s="8">
        <v>2.9</v>
      </c>
      <c r="J201">
        <f>INDEX(Cantones!C:C,MATCH(Tabelle2[[#This Row],[Cantón]],Cantones!A:A,0))</f>
        <v>-1.2491000000000001</v>
      </c>
      <c r="K201">
        <f>INDEX(Cantones!D:D,MATCH(Tabelle2[[#This Row],[Cantón]],Cantones!A:A,0))</f>
        <v>-78.616799999999998</v>
      </c>
    </row>
    <row r="202" spans="1:11">
      <c r="A202" s="6" t="s">
        <v>76</v>
      </c>
      <c r="B202" s="6" t="s">
        <v>329</v>
      </c>
      <c r="C202" s="6" t="s">
        <v>65</v>
      </c>
      <c r="D202" s="6" t="s">
        <v>65</v>
      </c>
      <c r="E202" s="6" t="s">
        <v>66</v>
      </c>
      <c r="F202" s="6" t="s">
        <v>40</v>
      </c>
      <c r="G202" s="6" t="s">
        <v>51</v>
      </c>
      <c r="H202" s="9">
        <v>1.36</v>
      </c>
      <c r="I202" s="9">
        <v>1.0900000000000001</v>
      </c>
      <c r="J202">
        <f>INDEX(Cantones!C:C,MATCH(Tabelle2[[#This Row],[Cantón]],Cantones!A:A,0))</f>
        <v>-0.78617999999999999</v>
      </c>
      <c r="K202">
        <f>INDEX(Cantones!D:D,MATCH(Tabelle2[[#This Row],[Cantón]],Cantones!A:A,0))</f>
        <v>-76.480318400000002</v>
      </c>
    </row>
    <row r="203" spans="1:11">
      <c r="A203" s="4" t="s">
        <v>273</v>
      </c>
      <c r="B203" s="4" t="s">
        <v>273</v>
      </c>
      <c r="C203" s="4" t="s">
        <v>87</v>
      </c>
      <c r="D203" s="4" t="s">
        <v>97</v>
      </c>
      <c r="E203" s="4" t="s">
        <v>13</v>
      </c>
      <c r="F203" s="4" t="s">
        <v>14</v>
      </c>
      <c r="G203" s="4" t="s">
        <v>15</v>
      </c>
      <c r="H203" s="8">
        <v>2.7</v>
      </c>
      <c r="I203" s="8">
        <v>2.46</v>
      </c>
      <c r="J203">
        <f>INDEX(Cantones!C:C,MATCH(Tabelle2[[#This Row],[Cantón]],Cantones!A:A,0))</f>
        <v>-0.21549199999999999</v>
      </c>
      <c r="K203">
        <f>INDEX(Cantones!D:D,MATCH(Tabelle2[[#This Row],[Cantón]],Cantones!A:A,0))</f>
        <v>-78.501364800000005</v>
      </c>
    </row>
    <row r="204" spans="1:11">
      <c r="A204" s="4" t="s">
        <v>334</v>
      </c>
      <c r="B204" s="4" t="s">
        <v>335</v>
      </c>
      <c r="C204" s="4" t="s">
        <v>18</v>
      </c>
      <c r="D204" s="4" t="s">
        <v>141</v>
      </c>
      <c r="E204" s="4" t="s">
        <v>13</v>
      </c>
      <c r="F204" s="4" t="s">
        <v>227</v>
      </c>
      <c r="G204" s="4" t="s">
        <v>51</v>
      </c>
      <c r="H204" s="8">
        <v>1.06</v>
      </c>
      <c r="I204" s="8">
        <v>1</v>
      </c>
      <c r="J204">
        <f>INDEX(Cantones!C:C,MATCH(Tabelle2[[#This Row],[Cantón]],Cantones!A:A,0))</f>
        <v>-2.9005999999999998</v>
      </c>
      <c r="K204">
        <f>INDEX(Cantones!D:D,MATCH(Tabelle2[[#This Row],[Cantón]],Cantones!A:A,0))</f>
        <v>-79.004499999999993</v>
      </c>
    </row>
    <row r="205" spans="1:11">
      <c r="A205" s="4" t="s">
        <v>63</v>
      </c>
      <c r="B205" s="4" t="s">
        <v>87</v>
      </c>
      <c r="C205" s="4" t="s">
        <v>78</v>
      </c>
      <c r="D205" s="4" t="s">
        <v>134</v>
      </c>
      <c r="E205" s="4" t="s">
        <v>66</v>
      </c>
      <c r="F205" s="4" t="s">
        <v>40</v>
      </c>
      <c r="G205" s="4" t="s">
        <v>51</v>
      </c>
      <c r="H205" s="8">
        <v>0.27</v>
      </c>
      <c r="I205" s="8">
        <v>0.17</v>
      </c>
      <c r="J205">
        <f>INDEX(Cantones!C:C,MATCH(Tabelle2[[#This Row],[Cantón]],Cantones!A:A,0))</f>
        <v>8.5400000000000004E-2</v>
      </c>
      <c r="K205">
        <f>INDEX(Cantones!D:D,MATCH(Tabelle2[[#This Row],[Cantón]],Cantones!A:A,0))</f>
        <v>-76.891499999999994</v>
      </c>
    </row>
    <row r="206" spans="1:11">
      <c r="A206" s="4" t="s">
        <v>76</v>
      </c>
      <c r="B206" s="4" t="s">
        <v>315</v>
      </c>
      <c r="C206" s="4" t="s">
        <v>65</v>
      </c>
      <c r="D206" s="4" t="s">
        <v>65</v>
      </c>
      <c r="E206" s="4" t="s">
        <v>66</v>
      </c>
      <c r="F206" s="4" t="s">
        <v>40</v>
      </c>
      <c r="G206" s="4" t="s">
        <v>51</v>
      </c>
      <c r="H206" s="8">
        <v>1.82</v>
      </c>
      <c r="I206" s="8">
        <v>1.45</v>
      </c>
      <c r="J206">
        <f>INDEX(Cantones!C:C,MATCH(Tabelle2[[#This Row],[Cantón]],Cantones!A:A,0))</f>
        <v>-0.78617999999999999</v>
      </c>
      <c r="K206">
        <f>INDEX(Cantones!D:D,MATCH(Tabelle2[[#This Row],[Cantón]],Cantones!A:A,0))</f>
        <v>-76.480318400000002</v>
      </c>
    </row>
    <row r="207" spans="1:11">
      <c r="A207" s="6" t="s">
        <v>271</v>
      </c>
      <c r="B207" s="6" t="s">
        <v>293</v>
      </c>
      <c r="C207" s="6" t="s">
        <v>183</v>
      </c>
      <c r="D207" s="6" t="s">
        <v>184</v>
      </c>
      <c r="E207" s="6" t="s">
        <v>66</v>
      </c>
      <c r="F207" s="6" t="s">
        <v>14</v>
      </c>
      <c r="G207" s="6" t="s">
        <v>15</v>
      </c>
      <c r="H207" s="9">
        <v>2</v>
      </c>
      <c r="I207" s="9">
        <v>1.9</v>
      </c>
      <c r="J207">
        <f>INDEX(Cantones!C:C,MATCH(Tabelle2[[#This Row],[Cantón]],Cantones!A:A,0))</f>
        <v>-1.6731483</v>
      </c>
      <c r="K207">
        <f>INDEX(Cantones!D:D,MATCH(Tabelle2[[#This Row],[Cantón]],Cantones!A:A,0))</f>
        <v>-78.648646499999998</v>
      </c>
    </row>
    <row r="208" spans="1:11">
      <c r="A208" s="4" t="s">
        <v>309</v>
      </c>
      <c r="B208" s="4" t="s">
        <v>310</v>
      </c>
      <c r="C208" s="4" t="s">
        <v>78</v>
      </c>
      <c r="D208" s="4" t="s">
        <v>311</v>
      </c>
      <c r="E208" s="4" t="s">
        <v>66</v>
      </c>
      <c r="F208" s="4" t="s">
        <v>40</v>
      </c>
      <c r="G208" s="4" t="s">
        <v>51</v>
      </c>
      <c r="H208" s="8">
        <v>1.9</v>
      </c>
      <c r="I208" s="8">
        <v>1.52</v>
      </c>
      <c r="J208">
        <f>INDEX(Cantones!C:C,MATCH(Tabelle2[[#This Row],[Cantón]],Cantones!A:A,0))</f>
        <v>8.0699999999999994E-2</v>
      </c>
      <c r="K208">
        <f>INDEX(Cantones!D:D,MATCH(Tabelle2[[#This Row],[Cantón]],Cantones!A:A,0))</f>
        <v>-77.564899999999994</v>
      </c>
    </row>
    <row r="209" spans="1:11">
      <c r="A209" s="6" t="s">
        <v>271</v>
      </c>
      <c r="B209" s="6" t="s">
        <v>272</v>
      </c>
      <c r="C209" s="6" t="s">
        <v>129</v>
      </c>
      <c r="D209" s="6" t="s">
        <v>152</v>
      </c>
      <c r="E209" s="6" t="s">
        <v>66</v>
      </c>
      <c r="F209" s="6" t="s">
        <v>40</v>
      </c>
      <c r="G209" s="6" t="s">
        <v>41</v>
      </c>
      <c r="H209" s="9">
        <v>3.63</v>
      </c>
      <c r="I209" s="9">
        <v>2.5</v>
      </c>
      <c r="J209">
        <f>INDEX(Cantones!C:C,MATCH(Tabelle2[[#This Row],[Cantón]],Cantones!A:A,0))</f>
        <v>-2.6317292000000001</v>
      </c>
      <c r="K209">
        <f>INDEX(Cantones!D:D,MATCH(Tabelle2[[#This Row],[Cantón]],Cantones!A:A,0))</f>
        <v>-78.700893399999998</v>
      </c>
    </row>
    <row r="210" spans="1:11">
      <c r="A210" s="6" t="s">
        <v>63</v>
      </c>
      <c r="B210" s="6" t="s">
        <v>405</v>
      </c>
      <c r="C210" s="6" t="s">
        <v>78</v>
      </c>
      <c r="D210" s="6" t="s">
        <v>79</v>
      </c>
      <c r="E210" s="6" t="s">
        <v>66</v>
      </c>
      <c r="F210" s="6" t="s">
        <v>40</v>
      </c>
      <c r="G210" s="6" t="s">
        <v>51</v>
      </c>
      <c r="H210" s="9">
        <v>0.53</v>
      </c>
      <c r="I210" s="9">
        <v>0.43</v>
      </c>
      <c r="J210">
        <f>INDEX(Cantones!C:C,MATCH(Tabelle2[[#This Row],[Cantón]],Cantones!A:A,0))</f>
        <v>-0.26551140000000001</v>
      </c>
      <c r="K210">
        <f>INDEX(Cantones!D:D,MATCH(Tabelle2[[#This Row],[Cantón]],Cantones!A:A,0))</f>
        <v>-75.892069199999995</v>
      </c>
    </row>
    <row r="211" spans="1:11">
      <c r="A211" s="6" t="s">
        <v>28</v>
      </c>
      <c r="B211" s="6" t="s">
        <v>75</v>
      </c>
      <c r="C211" s="6" t="s">
        <v>30</v>
      </c>
      <c r="D211" s="27" t="s">
        <v>527</v>
      </c>
      <c r="E211" s="6" t="s">
        <v>13</v>
      </c>
      <c r="F211" s="6" t="s">
        <v>14</v>
      </c>
      <c r="G211" s="6" t="s">
        <v>20</v>
      </c>
      <c r="H211" s="9">
        <v>73</v>
      </c>
      <c r="I211" s="9">
        <v>73</v>
      </c>
      <c r="J211">
        <f>INDEX(Cantones!C:C,MATCH(Tabelle2[[#This Row],[Cantón]],Cantones!A:A,0))</f>
        <v>-1.1725302</v>
      </c>
      <c r="K211">
        <f>INDEX(Cantones!D:D,MATCH(Tabelle2[[#This Row],[Cantón]],Cantones!A:A,0))</f>
        <v>-78.542317699999998</v>
      </c>
    </row>
    <row r="212" spans="1:11">
      <c r="A212" s="6" t="s">
        <v>63</v>
      </c>
      <c r="B212" s="6" t="s">
        <v>314</v>
      </c>
      <c r="C212" s="6" t="s">
        <v>65</v>
      </c>
      <c r="D212" s="6" t="s">
        <v>122</v>
      </c>
      <c r="E212" s="6" t="s">
        <v>66</v>
      </c>
      <c r="F212" s="6" t="s">
        <v>40</v>
      </c>
      <c r="G212" s="6" t="s">
        <v>51</v>
      </c>
      <c r="H212" s="9">
        <v>1.88</v>
      </c>
      <c r="I212" s="9">
        <v>1.46</v>
      </c>
      <c r="J212">
        <f>INDEX(Cantones!C:C,MATCH(Tabelle2[[#This Row],[Cantón]],Cantones!A:A,0))</f>
        <v>-0.2611097</v>
      </c>
      <c r="K212">
        <f>INDEX(Cantones!D:D,MATCH(Tabelle2[[#This Row],[Cantón]],Cantones!A:A,0))</f>
        <v>-76.9080096</v>
      </c>
    </row>
    <row r="213" spans="1:11">
      <c r="A213" s="38" t="s">
        <v>63</v>
      </c>
      <c r="B213" s="38" t="s">
        <v>458</v>
      </c>
      <c r="C213" s="4" t="s">
        <v>65</v>
      </c>
      <c r="D213" s="38" t="s">
        <v>65</v>
      </c>
      <c r="E213" s="4" t="s">
        <v>66</v>
      </c>
      <c r="F213" s="4" t="s">
        <v>40</v>
      </c>
      <c r="G213" s="38" t="s">
        <v>51</v>
      </c>
      <c r="H213" s="41">
        <v>2.0000000000000001E-4</v>
      </c>
      <c r="I213" s="26">
        <v>2.0000000000000001E-4</v>
      </c>
      <c r="J213">
        <f>INDEX(Cantones!C:C,MATCH(Tabelle2[[#This Row],[Cantón]],Cantones!A:A,0))</f>
        <v>-0.78617999999999999</v>
      </c>
      <c r="K213">
        <f>INDEX(Cantones!D:D,MATCH(Tabelle2[[#This Row],[Cantón]],Cantones!A:A,0))</f>
        <v>-76.480318400000002</v>
      </c>
    </row>
    <row r="214" spans="1:11">
      <c r="A214" s="4" t="s">
        <v>219</v>
      </c>
      <c r="B214" s="4" t="s">
        <v>440</v>
      </c>
      <c r="C214" s="4" t="s">
        <v>87</v>
      </c>
      <c r="D214" s="4" t="s">
        <v>441</v>
      </c>
      <c r="E214" s="4" t="s">
        <v>66</v>
      </c>
      <c r="F214" s="4" t="s">
        <v>40</v>
      </c>
      <c r="G214" s="4" t="s">
        <v>51</v>
      </c>
      <c r="H214" s="8">
        <v>0.16</v>
      </c>
      <c r="I214" s="8">
        <v>0.16</v>
      </c>
      <c r="J214">
        <f>INDEX(Cantones!C:C,MATCH(Tabelle2[[#This Row],[Cantón]],Cantones!A:A,0))</f>
        <v>8.6495500000000003E-2</v>
      </c>
      <c r="K214">
        <f>INDEX(Cantones!D:D,MATCH(Tabelle2[[#This Row],[Cantón]],Cantones!A:A,0))</f>
        <v>-79.052576999999999</v>
      </c>
    </row>
    <row r="215" spans="1:11">
      <c r="A215" s="4" t="s">
        <v>68</v>
      </c>
      <c r="B215" s="4" t="s">
        <v>270</v>
      </c>
      <c r="C215" s="4" t="s">
        <v>26</v>
      </c>
      <c r="D215" s="4" t="s">
        <v>39</v>
      </c>
      <c r="E215" s="4" t="s">
        <v>66</v>
      </c>
      <c r="F215" s="4" t="s">
        <v>40</v>
      </c>
      <c r="G215" s="4" t="s">
        <v>51</v>
      </c>
      <c r="H215" s="8">
        <v>2.8</v>
      </c>
      <c r="I215" s="8">
        <v>2.52</v>
      </c>
      <c r="J215">
        <f>INDEX(Cantones!C:C,MATCH(Tabelle2[[#This Row],[Cantón]],Cantones!A:A,0))</f>
        <v>-2.1899066</v>
      </c>
      <c r="K215">
        <f>INDEX(Cantones!D:D,MATCH(Tabelle2[[#This Row],[Cantón]],Cantones!A:A,0))</f>
        <v>-79.887726000000001</v>
      </c>
    </row>
    <row r="216" spans="1:11">
      <c r="A216" s="6" t="s">
        <v>110</v>
      </c>
      <c r="B216" s="43" t="s">
        <v>565</v>
      </c>
      <c r="C216" s="6" t="s">
        <v>11</v>
      </c>
      <c r="D216" s="6" t="s">
        <v>111</v>
      </c>
      <c r="E216" s="6" t="s">
        <v>13</v>
      </c>
      <c r="F216" s="6" t="s">
        <v>14</v>
      </c>
      <c r="G216" s="6" t="s">
        <v>15</v>
      </c>
      <c r="H216" s="9">
        <v>38.25</v>
      </c>
      <c r="I216" s="9">
        <v>38.25</v>
      </c>
      <c r="J216">
        <f>INDEX(Cantones!C:C,MATCH(Tabelle2[[#This Row],[Cantón]],Cantones!A:A,0))</f>
        <v>-0.94387180000000004</v>
      </c>
      <c r="K216">
        <f>INDEX(Cantones!D:D,MATCH(Tabelle2[[#This Row],[Cantón]],Cantones!A:A,0))</f>
        <v>-78.108398199999996</v>
      </c>
    </row>
    <row r="217" spans="1:11">
      <c r="A217" s="6" t="s">
        <v>68</v>
      </c>
      <c r="B217" s="6" t="s">
        <v>69</v>
      </c>
      <c r="C217" s="6" t="s">
        <v>70</v>
      </c>
      <c r="D217" s="6" t="s">
        <v>71</v>
      </c>
      <c r="E217" s="6" t="s">
        <v>13</v>
      </c>
      <c r="F217" s="6" t="s">
        <v>40</v>
      </c>
      <c r="G217" s="6" t="s">
        <v>51</v>
      </c>
      <c r="H217" s="9">
        <v>95.2</v>
      </c>
      <c r="I217" s="9">
        <v>81</v>
      </c>
      <c r="J217">
        <f>INDEX(Cantones!C:C,MATCH(Tabelle2[[#This Row],[Cantón]],Cantones!A:A,0))</f>
        <v>-1.0243507999999999</v>
      </c>
      <c r="K217">
        <f>INDEX(Cantones!D:D,MATCH(Tabelle2[[#This Row],[Cantón]],Cantones!A:A,0))</f>
        <v>-79.466332300000005</v>
      </c>
    </row>
    <row r="218" spans="1:11">
      <c r="A218" s="6" t="s">
        <v>163</v>
      </c>
      <c r="B218" s="6" t="s">
        <v>164</v>
      </c>
      <c r="C218" s="6" t="s">
        <v>87</v>
      </c>
      <c r="D218" s="6" t="s">
        <v>97</v>
      </c>
      <c r="E218" s="6" t="s">
        <v>13</v>
      </c>
      <c r="F218" s="6" t="s">
        <v>14</v>
      </c>
      <c r="G218" s="6" t="s">
        <v>15</v>
      </c>
      <c r="H218" s="9">
        <v>14.7</v>
      </c>
      <c r="I218" s="9">
        <v>14.5</v>
      </c>
      <c r="J218">
        <f>INDEX(Cantones!C:C,MATCH(Tabelle2[[#This Row],[Cantón]],Cantones!A:A,0))</f>
        <v>-0.21549199999999999</v>
      </c>
      <c r="K218">
        <f>INDEX(Cantones!D:D,MATCH(Tabelle2[[#This Row],[Cantón]],Cantones!A:A,0))</f>
        <v>-78.501364800000005</v>
      </c>
    </row>
    <row r="219" spans="1:11">
      <c r="A219" s="4" t="s">
        <v>388</v>
      </c>
      <c r="B219" s="4" t="s">
        <v>388</v>
      </c>
      <c r="C219" s="4" t="s">
        <v>155</v>
      </c>
      <c r="D219" s="4" t="s">
        <v>154</v>
      </c>
      <c r="E219" s="4" t="s">
        <v>13</v>
      </c>
      <c r="F219" s="4" t="s">
        <v>289</v>
      </c>
      <c r="G219" s="4" t="s">
        <v>289</v>
      </c>
      <c r="H219" s="8">
        <v>1</v>
      </c>
      <c r="I219" s="8">
        <v>0.7</v>
      </c>
      <c r="J219">
        <f>INDEX(Cantones!C:C,MATCH(Tabelle2[[#This Row],[Cantón]],Cantones!A:A,0))</f>
        <v>-3.9870000000000001</v>
      </c>
      <c r="K219">
        <f>INDEX(Cantones!D:D,MATCH(Tabelle2[[#This Row],[Cantón]],Cantones!A:A,0))</f>
        <v>-79.359200000000001</v>
      </c>
    </row>
    <row r="220" spans="1:11">
      <c r="A220" s="6" t="s">
        <v>98</v>
      </c>
      <c r="B220" s="6" t="s">
        <v>119</v>
      </c>
      <c r="C220" s="6" t="s">
        <v>65</v>
      </c>
      <c r="D220" s="6" t="s">
        <v>100</v>
      </c>
      <c r="E220" s="6" t="s">
        <v>66</v>
      </c>
      <c r="F220" s="6" t="s">
        <v>40</v>
      </c>
      <c r="G220" s="6" t="s">
        <v>47</v>
      </c>
      <c r="H220" s="9">
        <v>42.9</v>
      </c>
      <c r="I220" s="9">
        <v>35</v>
      </c>
      <c r="J220">
        <f>INDEX(Cantones!C:C,MATCH(Tabelle2[[#This Row],[Cantón]],Cantones!A:A,0))</f>
        <v>-0.98462320000000003</v>
      </c>
      <c r="K220">
        <f>INDEX(Cantones!D:D,MATCH(Tabelle2[[#This Row],[Cantón]],Cantones!A:A,0))</f>
        <v>-75.989153299999998</v>
      </c>
    </row>
    <row r="221" spans="1:11">
      <c r="A221" s="4" t="s">
        <v>98</v>
      </c>
      <c r="B221" s="4" t="s">
        <v>196</v>
      </c>
      <c r="C221" s="4" t="s">
        <v>65</v>
      </c>
      <c r="D221" s="4" t="s">
        <v>100</v>
      </c>
      <c r="E221" s="4" t="s">
        <v>66</v>
      </c>
      <c r="F221" s="4" t="s">
        <v>40</v>
      </c>
      <c r="G221" s="4" t="s">
        <v>51</v>
      </c>
      <c r="H221" s="8">
        <v>10.28</v>
      </c>
      <c r="I221" s="8">
        <v>8.49</v>
      </c>
      <c r="J221">
        <f>INDEX(Cantones!C:C,MATCH(Tabelle2[[#This Row],[Cantón]],Cantones!A:A,0))</f>
        <v>-0.98462320000000003</v>
      </c>
      <c r="K221">
        <f>INDEX(Cantones!D:D,MATCH(Tabelle2[[#This Row],[Cantón]],Cantones!A:A,0))</f>
        <v>-75.989153299999998</v>
      </c>
    </row>
    <row r="222" spans="1:11">
      <c r="A222" s="4" t="s">
        <v>98</v>
      </c>
      <c r="B222" s="4" t="s">
        <v>145</v>
      </c>
      <c r="C222" s="4" t="s">
        <v>65</v>
      </c>
      <c r="D222" s="4" t="s">
        <v>100</v>
      </c>
      <c r="E222" s="4" t="s">
        <v>66</v>
      </c>
      <c r="F222" s="4" t="s">
        <v>40</v>
      </c>
      <c r="G222" s="4" t="s">
        <v>47</v>
      </c>
      <c r="H222" s="8">
        <v>30.1</v>
      </c>
      <c r="I222" s="8">
        <v>19</v>
      </c>
      <c r="J222">
        <f>INDEX(Cantones!C:C,MATCH(Tabelle2[[#This Row],[Cantón]],Cantones!A:A,0))</f>
        <v>-0.98462320000000003</v>
      </c>
      <c r="K222">
        <f>INDEX(Cantones!D:D,MATCH(Tabelle2[[#This Row],[Cantón]],Cantones!A:A,0))</f>
        <v>-75.989153299999998</v>
      </c>
    </row>
    <row r="223" spans="1:11">
      <c r="A223" s="4" t="s">
        <v>98</v>
      </c>
      <c r="B223" s="4" t="s">
        <v>168</v>
      </c>
      <c r="C223" s="4" t="s">
        <v>65</v>
      </c>
      <c r="D223" s="4" t="s">
        <v>100</v>
      </c>
      <c r="E223" s="4" t="s">
        <v>66</v>
      </c>
      <c r="F223" s="4" t="s">
        <v>40</v>
      </c>
      <c r="G223" s="4" t="s">
        <v>51</v>
      </c>
      <c r="H223" s="8">
        <v>15.84</v>
      </c>
      <c r="I223" s="8">
        <v>13.63</v>
      </c>
      <c r="J223">
        <f>INDEX(Cantones!C:C,MATCH(Tabelle2[[#This Row],[Cantón]],Cantones!A:A,0))</f>
        <v>-0.98462320000000003</v>
      </c>
      <c r="K223">
        <f>INDEX(Cantones!D:D,MATCH(Tabelle2[[#This Row],[Cantón]],Cantones!A:A,0))</f>
        <v>-75.989153299999998</v>
      </c>
    </row>
    <row r="224" spans="1:11">
      <c r="A224" s="6" t="s">
        <v>98</v>
      </c>
      <c r="B224" s="6" t="s">
        <v>99</v>
      </c>
      <c r="C224" s="6" t="s">
        <v>65</v>
      </c>
      <c r="D224" s="27" t="s">
        <v>487</v>
      </c>
      <c r="E224" s="6" t="s">
        <v>66</v>
      </c>
      <c r="F224" s="6" t="s">
        <v>40</v>
      </c>
      <c r="G224" s="6" t="s">
        <v>51</v>
      </c>
      <c r="H224" s="9">
        <v>45.28</v>
      </c>
      <c r="I224" s="9">
        <v>44.3</v>
      </c>
      <c r="J224">
        <f>INDEX(Cantones!C:C,MATCH(Tabelle2[[#This Row],[Cantón]],Cantones!A:A,0))</f>
        <v>-0.98462320000000003</v>
      </c>
      <c r="K224">
        <f>INDEX(Cantones!D:D,MATCH(Tabelle2[[#This Row],[Cantón]],Cantones!A:A,0))</f>
        <v>-75.989153299999998</v>
      </c>
    </row>
    <row r="225" spans="1:11">
      <c r="A225" s="4" t="s">
        <v>98</v>
      </c>
      <c r="B225" s="4" t="s">
        <v>213</v>
      </c>
      <c r="C225" s="4" t="s">
        <v>78</v>
      </c>
      <c r="D225" s="4" t="s">
        <v>102</v>
      </c>
      <c r="E225" s="4" t="s">
        <v>66</v>
      </c>
      <c r="F225" s="4" t="s">
        <v>40</v>
      </c>
      <c r="G225" s="4" t="s">
        <v>51</v>
      </c>
      <c r="H225" s="8">
        <v>9.6199999999999992</v>
      </c>
      <c r="I225" s="8">
        <v>6.95</v>
      </c>
      <c r="J225">
        <f>INDEX(Cantones!C:C,MATCH(Tabelle2[[#This Row],[Cantón]],Cantones!A:A,0))</f>
        <v>-0.28860940000000002</v>
      </c>
      <c r="K225">
        <f>INDEX(Cantones!D:D,MATCH(Tabelle2[[#This Row],[Cantón]],Cantones!A:A,0))</f>
        <v>-76.590663199999995</v>
      </c>
    </row>
    <row r="226" spans="1:11">
      <c r="A226" s="11" t="s">
        <v>181</v>
      </c>
      <c r="B226" s="6" t="s">
        <v>260</v>
      </c>
      <c r="C226" s="6" t="s">
        <v>183</v>
      </c>
      <c r="D226" s="6" t="s">
        <v>184</v>
      </c>
      <c r="E226" s="6" t="s">
        <v>13</v>
      </c>
      <c r="F226" s="6" t="s">
        <v>14</v>
      </c>
      <c r="G226" s="6" t="s">
        <v>15</v>
      </c>
      <c r="H226" s="9">
        <v>3.13</v>
      </c>
      <c r="I226" s="9">
        <v>3</v>
      </c>
      <c r="J226">
        <f>INDEX(Cantones!C:C,MATCH(Tabelle2[[#This Row],[Cantón]],Cantones!A:A,0))</f>
        <v>-1.6731483</v>
      </c>
      <c r="K226">
        <f>INDEX(Cantones!D:D,MATCH(Tabelle2[[#This Row],[Cantón]],Cantones!A:A,0))</f>
        <v>-78.648646499999998</v>
      </c>
    </row>
    <row r="227" spans="1:11" ht="23">
      <c r="A227" s="15" t="s">
        <v>63</v>
      </c>
      <c r="B227" s="20" t="s">
        <v>235</v>
      </c>
      <c r="C227" s="4" t="s">
        <v>78</v>
      </c>
      <c r="D227" s="4" t="s">
        <v>102</v>
      </c>
      <c r="E227" s="4" t="s">
        <v>66</v>
      </c>
      <c r="F227" s="4" t="s">
        <v>40</v>
      </c>
      <c r="G227" s="4" t="s">
        <v>51</v>
      </c>
      <c r="H227" s="8">
        <v>7.16</v>
      </c>
      <c r="I227" s="8">
        <v>4.79</v>
      </c>
      <c r="J227">
        <f>INDEX(Cantones!C:C,MATCH(Tabelle2[[#This Row],[Cantón]],Cantones!A:A,0))</f>
        <v>-0.28860940000000002</v>
      </c>
      <c r="K227">
        <f>INDEX(Cantones!D:D,MATCH(Tabelle2[[#This Row],[Cantón]],Cantones!A:A,0))</f>
        <v>-76.590663199999995</v>
      </c>
    </row>
    <row r="228" spans="1:11" ht="34.5">
      <c r="A228" s="6" t="s">
        <v>63</v>
      </c>
      <c r="B228" s="19" t="s">
        <v>277</v>
      </c>
      <c r="C228" s="6" t="s">
        <v>78</v>
      </c>
      <c r="D228" s="6" t="s">
        <v>102</v>
      </c>
      <c r="E228" s="6" t="s">
        <v>66</v>
      </c>
      <c r="F228" s="6" t="s">
        <v>40</v>
      </c>
      <c r="G228" s="6" t="s">
        <v>51</v>
      </c>
      <c r="H228" s="9">
        <v>3.19</v>
      </c>
      <c r="I228" s="9">
        <v>2.4</v>
      </c>
      <c r="J228">
        <f>INDEX(Cantones!C:C,MATCH(Tabelle2[[#This Row],[Cantón]],Cantones!A:A,0))</f>
        <v>-0.28860940000000002</v>
      </c>
      <c r="K228">
        <f>INDEX(Cantones!D:D,MATCH(Tabelle2[[#This Row],[Cantón]],Cantones!A:A,0))</f>
        <v>-76.590663199999995</v>
      </c>
    </row>
    <row r="229" spans="1:11">
      <c r="A229" s="22" t="s">
        <v>384</v>
      </c>
      <c r="B229" s="6" t="s">
        <v>385</v>
      </c>
      <c r="C229" s="6" t="s">
        <v>155</v>
      </c>
      <c r="D229" s="27" t="s">
        <v>538</v>
      </c>
      <c r="E229" s="6" t="s">
        <v>13</v>
      </c>
      <c r="F229" s="6" t="s">
        <v>289</v>
      </c>
      <c r="G229" s="6" t="s">
        <v>289</v>
      </c>
      <c r="H229" s="9">
        <v>1</v>
      </c>
      <c r="I229" s="9">
        <v>0.73</v>
      </c>
      <c r="J229">
        <f>INDEX(Cantones!C:C,MATCH(Tabelle2[[#This Row],[Cantón]],Cantones!A:A,0))</f>
        <v>-4.3490567999999996</v>
      </c>
      <c r="K229">
        <f>INDEX(Cantones!D:D,MATCH(Tabelle2[[#This Row],[Cantón]],Cantones!A:A,0))</f>
        <v>-79.916141600000003</v>
      </c>
    </row>
    <row r="230" spans="1:11">
      <c r="A230" s="11" t="s">
        <v>63</v>
      </c>
      <c r="B230" s="6" t="s">
        <v>121</v>
      </c>
      <c r="C230" s="6" t="s">
        <v>65</v>
      </c>
      <c r="D230" s="6" t="s">
        <v>122</v>
      </c>
      <c r="E230" s="6" t="s">
        <v>66</v>
      </c>
      <c r="F230" s="6" t="s">
        <v>40</v>
      </c>
      <c r="G230" s="6" t="s">
        <v>51</v>
      </c>
      <c r="H230" s="9">
        <v>41.94</v>
      </c>
      <c r="I230" s="9">
        <v>34.369999999999997</v>
      </c>
      <c r="J230">
        <f>INDEX(Cantones!C:C,MATCH(Tabelle2[[#This Row],[Cantón]],Cantones!A:A,0))</f>
        <v>-0.2611097</v>
      </c>
      <c r="K230">
        <f>INDEX(Cantones!D:D,MATCH(Tabelle2[[#This Row],[Cantón]],Cantones!A:A,0))</f>
        <v>-76.9080096</v>
      </c>
    </row>
    <row r="231" spans="1:11">
      <c r="A231" s="10" t="s">
        <v>68</v>
      </c>
      <c r="B231" s="42" t="s">
        <v>562</v>
      </c>
      <c r="C231" s="4" t="s">
        <v>65</v>
      </c>
      <c r="D231" s="4" t="s">
        <v>122</v>
      </c>
      <c r="E231" s="4" t="s">
        <v>66</v>
      </c>
      <c r="F231" s="4" t="s">
        <v>40</v>
      </c>
      <c r="G231" s="4" t="s">
        <v>51</v>
      </c>
      <c r="H231" s="8">
        <v>20.399999999999999</v>
      </c>
      <c r="I231" s="8">
        <v>18.600000000000001</v>
      </c>
      <c r="J231">
        <f>INDEX(Cantones!C:C,MATCH(Tabelle2[[#This Row],[Cantón]],Cantones!A:A,0))</f>
        <v>-0.2611097</v>
      </c>
      <c r="K231">
        <f>INDEX(Cantones!D:D,MATCH(Tabelle2[[#This Row],[Cantón]],Cantones!A:A,0))</f>
        <v>-76.9080096</v>
      </c>
    </row>
    <row r="232" spans="1:11">
      <c r="A232" s="4" t="s">
        <v>63</v>
      </c>
      <c r="B232" s="4" t="s">
        <v>257</v>
      </c>
      <c r="C232" s="4" t="s">
        <v>65</v>
      </c>
      <c r="D232" s="4" t="s">
        <v>122</v>
      </c>
      <c r="E232" s="4" t="s">
        <v>66</v>
      </c>
      <c r="F232" s="4" t="s">
        <v>40</v>
      </c>
      <c r="G232" s="4" t="s">
        <v>51</v>
      </c>
      <c r="H232" s="8">
        <v>17.45</v>
      </c>
      <c r="I232" s="8">
        <v>3.26</v>
      </c>
      <c r="J232">
        <f>INDEX(Cantones!C:C,MATCH(Tabelle2[[#This Row],[Cantón]],Cantones!A:A,0))</f>
        <v>-0.2611097</v>
      </c>
      <c r="K232">
        <f>INDEX(Cantones!D:D,MATCH(Tabelle2[[#This Row],[Cantón]],Cantones!A:A,0))</f>
        <v>-76.9080096</v>
      </c>
    </row>
    <row r="233" spans="1:11">
      <c r="A233" s="11" t="s">
        <v>63</v>
      </c>
      <c r="B233" s="6" t="s">
        <v>171</v>
      </c>
      <c r="C233" s="6" t="s">
        <v>65</v>
      </c>
      <c r="D233" s="6" t="s">
        <v>122</v>
      </c>
      <c r="E233" s="6" t="s">
        <v>66</v>
      </c>
      <c r="F233" s="6" t="s">
        <v>40</v>
      </c>
      <c r="G233" s="6" t="s">
        <v>51</v>
      </c>
      <c r="H233" s="9">
        <v>15.33</v>
      </c>
      <c r="I233" s="9">
        <v>11.49</v>
      </c>
      <c r="J233">
        <f>INDEX(Cantones!C:C,MATCH(Tabelle2[[#This Row],[Cantón]],Cantones!A:A,0))</f>
        <v>-0.2611097</v>
      </c>
      <c r="K233">
        <f>INDEX(Cantones!D:D,MATCH(Tabelle2[[#This Row],[Cantón]],Cantones!A:A,0))</f>
        <v>-76.9080096</v>
      </c>
    </row>
    <row r="234" spans="1:11">
      <c r="A234" s="6" t="s">
        <v>63</v>
      </c>
      <c r="B234" s="6" t="s">
        <v>258</v>
      </c>
      <c r="C234" s="6" t="s">
        <v>65</v>
      </c>
      <c r="D234" s="6" t="s">
        <v>122</v>
      </c>
      <c r="E234" s="6" t="s">
        <v>66</v>
      </c>
      <c r="F234" s="6" t="s">
        <v>40</v>
      </c>
      <c r="G234" s="6" t="s">
        <v>51</v>
      </c>
      <c r="H234" s="9">
        <v>3.9</v>
      </c>
      <c r="I234" s="9">
        <v>3.09</v>
      </c>
      <c r="J234">
        <f>INDEX(Cantones!C:C,MATCH(Tabelle2[[#This Row],[Cantón]],Cantones!A:A,0))</f>
        <v>-0.2611097</v>
      </c>
      <c r="K234">
        <f>INDEX(Cantones!D:D,MATCH(Tabelle2[[#This Row],[Cantón]],Cantones!A:A,0))</f>
        <v>-76.9080096</v>
      </c>
    </row>
    <row r="235" spans="1:11" ht="23">
      <c r="A235" s="4" t="s">
        <v>63</v>
      </c>
      <c r="B235" s="4" t="s">
        <v>255</v>
      </c>
      <c r="C235" s="4" t="s">
        <v>65</v>
      </c>
      <c r="D235" s="4" t="s">
        <v>122</v>
      </c>
      <c r="E235" s="4" t="s">
        <v>66</v>
      </c>
      <c r="F235" s="4" t="s">
        <v>40</v>
      </c>
      <c r="G235" s="4" t="s">
        <v>51</v>
      </c>
      <c r="H235" s="8">
        <v>4.2</v>
      </c>
      <c r="I235" s="8">
        <v>3.6</v>
      </c>
      <c r="J235">
        <f>INDEX(Cantones!C:C,MATCH(Tabelle2[[#This Row],[Cantón]],Cantones!A:A,0))</f>
        <v>-0.2611097</v>
      </c>
      <c r="K235">
        <f>INDEX(Cantones!D:D,MATCH(Tabelle2[[#This Row],[Cantón]],Cantones!A:A,0))</f>
        <v>-76.9080096</v>
      </c>
    </row>
    <row r="236" spans="1:11">
      <c r="A236" s="4" t="s">
        <v>286</v>
      </c>
      <c r="B236" s="4" t="s">
        <v>287</v>
      </c>
      <c r="C236" s="4" t="s">
        <v>83</v>
      </c>
      <c r="D236" s="4" t="s">
        <v>288</v>
      </c>
      <c r="E236" s="4" t="s">
        <v>13</v>
      </c>
      <c r="F236" s="4" t="s">
        <v>289</v>
      </c>
      <c r="G236" s="4" t="s">
        <v>289</v>
      </c>
      <c r="H236" s="8">
        <v>2</v>
      </c>
      <c r="I236" s="8">
        <v>2</v>
      </c>
      <c r="J236">
        <f>INDEX(Cantones!C:C,MATCH(Tabelle2[[#This Row],[Cantón]],Cantones!A:A,0))</f>
        <v>0.34784209999999999</v>
      </c>
      <c r="K236">
        <f>INDEX(Cantones!D:D,MATCH(Tabelle2[[#This Row],[Cantón]],Cantones!A:A,0))</f>
        <v>-78.117358800000005</v>
      </c>
    </row>
    <row r="237" spans="1:11">
      <c r="A237" s="4" t="s">
        <v>72</v>
      </c>
      <c r="B237" s="4" t="s">
        <v>72</v>
      </c>
      <c r="C237" s="4" t="s">
        <v>26</v>
      </c>
      <c r="D237" s="4" t="s">
        <v>73</v>
      </c>
      <c r="E237" s="4" t="s">
        <v>13</v>
      </c>
      <c r="F237" s="4" t="s">
        <v>74</v>
      </c>
      <c r="G237" s="4" t="s">
        <v>41</v>
      </c>
      <c r="H237" s="8">
        <v>78</v>
      </c>
      <c r="I237" s="8">
        <v>73.599999999999994</v>
      </c>
      <c r="J237">
        <f>INDEX(Cantones!C:C,MATCH(Tabelle2[[#This Row],[Cantón]],Cantones!A:A,0))</f>
        <v>-2.2333628999999999</v>
      </c>
      <c r="K237">
        <f>INDEX(Cantones!D:D,MATCH(Tabelle2[[#This Row],[Cantón]],Cantones!A:A,0))</f>
        <v>-79.386164899999997</v>
      </c>
    </row>
    <row r="238" spans="1:11">
      <c r="A238" s="18" t="s">
        <v>68</v>
      </c>
      <c r="B238" s="6" t="s">
        <v>221</v>
      </c>
      <c r="C238" s="6" t="s">
        <v>170</v>
      </c>
      <c r="D238" s="6" t="s">
        <v>221</v>
      </c>
      <c r="E238" s="6" t="s">
        <v>66</v>
      </c>
      <c r="F238" s="6" t="s">
        <v>40</v>
      </c>
      <c r="G238" s="6" t="s">
        <v>51</v>
      </c>
      <c r="H238" s="9">
        <v>7.41</v>
      </c>
      <c r="I238" s="9">
        <v>5.91</v>
      </c>
      <c r="J238">
        <f>INDEX(Cantones!C:C,MATCH(Tabelle2[[#This Row],[Cantón]],Cantones!A:A,0))</f>
        <v>-0.91512260000000001</v>
      </c>
      <c r="K238">
        <f>INDEX(Cantones!D:D,MATCH(Tabelle2[[#This Row],[Cantón]],Cantones!A:A,0))</f>
        <v>-89.566295499999995</v>
      </c>
    </row>
    <row r="239" spans="1:11">
      <c r="A239" s="15" t="s">
        <v>275</v>
      </c>
      <c r="B239" s="4" t="s">
        <v>276</v>
      </c>
      <c r="C239" s="4" t="s">
        <v>170</v>
      </c>
      <c r="D239" s="4" t="s">
        <v>221</v>
      </c>
      <c r="E239" s="4" t="s">
        <v>66</v>
      </c>
      <c r="F239" s="4" t="s">
        <v>157</v>
      </c>
      <c r="G239" s="4" t="s">
        <v>157</v>
      </c>
      <c r="H239" s="8">
        <v>2.4</v>
      </c>
      <c r="I239" s="8">
        <v>2.4</v>
      </c>
      <c r="J239">
        <f>INDEX(Cantones!C:C,MATCH(Tabelle2[[#This Row],[Cantón]],Cantones!A:A,0))</f>
        <v>-0.91512260000000001</v>
      </c>
      <c r="K239">
        <f>INDEX(Cantones!D:D,MATCH(Tabelle2[[#This Row],[Cantón]],Cantones!A:A,0))</f>
        <v>-89.566295499999995</v>
      </c>
    </row>
    <row r="240" spans="1:11" ht="23">
      <c r="A240" s="38" t="s">
        <v>275</v>
      </c>
      <c r="B240" s="38" t="s">
        <v>454</v>
      </c>
      <c r="C240" s="4" t="s">
        <v>170</v>
      </c>
      <c r="D240" s="38" t="s">
        <v>221</v>
      </c>
      <c r="E240" s="4" t="s">
        <v>66</v>
      </c>
      <c r="F240" s="4" t="s">
        <v>289</v>
      </c>
      <c r="G240" s="38" t="s">
        <v>289</v>
      </c>
      <c r="H240" s="40">
        <v>0.01</v>
      </c>
      <c r="I240" s="8">
        <v>0.01</v>
      </c>
      <c r="J240">
        <f>INDEX(Cantones!C:C,MATCH(Tabelle2[[#This Row],[Cantón]],Cantones!A:A,0))</f>
        <v>-0.91512260000000001</v>
      </c>
      <c r="K240">
        <f>INDEX(Cantones!D:D,MATCH(Tabelle2[[#This Row],[Cantón]],Cantones!A:A,0))</f>
        <v>-89.566295499999995</v>
      </c>
    </row>
    <row r="241" spans="1:11">
      <c r="A241" s="6" t="s">
        <v>28</v>
      </c>
      <c r="B241" s="6" t="s">
        <v>29</v>
      </c>
      <c r="C241" s="6" t="s">
        <v>30</v>
      </c>
      <c r="D241" s="6" t="s">
        <v>31</v>
      </c>
      <c r="E241" s="6" t="s">
        <v>13</v>
      </c>
      <c r="F241" s="6" t="s">
        <v>14</v>
      </c>
      <c r="G241" s="6" t="s">
        <v>15</v>
      </c>
      <c r="H241" s="9">
        <v>230</v>
      </c>
      <c r="I241" s="9">
        <v>212</v>
      </c>
      <c r="J241">
        <f>INDEX(Cantones!C:C,MATCH(Tabelle2[[#This Row],[Cantón]],Cantones!A:A,0))</f>
        <v>-1.3319156999999999</v>
      </c>
      <c r="K241">
        <f>INDEX(Cantones!D:D,MATCH(Tabelle2[[#This Row],[Cantón]],Cantones!A:A,0))</f>
        <v>-78.262528500000002</v>
      </c>
    </row>
    <row r="242" spans="1:11">
      <c r="A242" s="14" t="s">
        <v>202</v>
      </c>
      <c r="B242" s="6" t="s">
        <v>268</v>
      </c>
      <c r="C242" s="6" t="s">
        <v>269</v>
      </c>
      <c r="D242" s="27" t="s">
        <v>542</v>
      </c>
      <c r="E242" s="6" t="s">
        <v>13</v>
      </c>
      <c r="F242" s="6" t="s">
        <v>14</v>
      </c>
      <c r="G242" s="6" t="s">
        <v>15</v>
      </c>
      <c r="H242" s="9">
        <v>2.95</v>
      </c>
      <c r="I242" s="9">
        <v>2.52</v>
      </c>
      <c r="J242">
        <f>INDEX(Cantones!C:C,MATCH(Tabelle2[[#This Row],[Cantón]],Cantones!A:A,0))</f>
        <v>0.81100000000000005</v>
      </c>
      <c r="K242">
        <f>INDEX(Cantones!D:D,MATCH(Tabelle2[[#This Row],[Cantón]],Cantones!A:A,0))</f>
        <v>-77.717299999999994</v>
      </c>
    </row>
    <row r="243" spans="1:11">
      <c r="A243" s="6" t="s">
        <v>344</v>
      </c>
      <c r="B243" s="6" t="s">
        <v>344</v>
      </c>
      <c r="C243" s="6" t="s">
        <v>155</v>
      </c>
      <c r="D243" s="6" t="s">
        <v>343</v>
      </c>
      <c r="E243" s="6" t="s">
        <v>13</v>
      </c>
      <c r="F243" s="6" t="s">
        <v>289</v>
      </c>
      <c r="G243" s="6" t="s">
        <v>289</v>
      </c>
      <c r="H243" s="9">
        <v>1</v>
      </c>
      <c r="I243" s="9">
        <v>1</v>
      </c>
      <c r="J243">
        <f>INDEX(Cantones!C:C,MATCH(Tabelle2[[#This Row],[Cantón]],Cantones!A:A,0))</f>
        <v>-4.2302999999999997</v>
      </c>
      <c r="K243">
        <f>INDEX(Cantones!D:D,MATCH(Tabelle2[[#This Row],[Cantón]],Cantones!A:A,0))</f>
        <v>-79.436599999999999</v>
      </c>
    </row>
    <row r="244" spans="1:11">
      <c r="A244" s="6" t="s">
        <v>339</v>
      </c>
      <c r="B244" s="6" t="s">
        <v>339</v>
      </c>
      <c r="C244" s="6" t="s">
        <v>45</v>
      </c>
      <c r="D244" s="6" t="s">
        <v>86</v>
      </c>
      <c r="E244" s="6" t="s">
        <v>13</v>
      </c>
      <c r="F244" s="6" t="s">
        <v>289</v>
      </c>
      <c r="G244" s="6" t="s">
        <v>289</v>
      </c>
      <c r="H244" s="9">
        <v>1</v>
      </c>
      <c r="I244" s="9">
        <v>1</v>
      </c>
      <c r="J244">
        <f>INDEX(Cantones!C:C,MATCH(Tabelle2[[#This Row],[Cantón]],Cantones!A:A,0))</f>
        <v>-3.4145539</v>
      </c>
      <c r="K244">
        <f>INDEX(Cantones!D:D,MATCH(Tabelle2[[#This Row],[Cantón]],Cantones!A:A,0))</f>
        <v>-80.154904000000002</v>
      </c>
    </row>
    <row r="245" spans="1:11">
      <c r="A245" s="6" t="s">
        <v>63</v>
      </c>
      <c r="B245" s="6" t="s">
        <v>214</v>
      </c>
      <c r="C245" s="6" t="s">
        <v>78</v>
      </c>
      <c r="D245" s="6" t="s">
        <v>79</v>
      </c>
      <c r="E245" s="6" t="s">
        <v>66</v>
      </c>
      <c r="F245" s="6" t="s">
        <v>40</v>
      </c>
      <c r="G245" s="6" t="s">
        <v>51</v>
      </c>
      <c r="H245" s="9">
        <v>10.28</v>
      </c>
      <c r="I245" s="9">
        <v>6.49</v>
      </c>
      <c r="J245">
        <f>INDEX(Cantones!C:C,MATCH(Tabelle2[[#This Row],[Cantón]],Cantones!A:A,0))</f>
        <v>-0.26551140000000001</v>
      </c>
      <c r="K245">
        <f>INDEX(Cantones!D:D,MATCH(Tabelle2[[#This Row],[Cantón]],Cantones!A:A,0))</f>
        <v>-75.892069199999995</v>
      </c>
    </row>
    <row r="246" spans="1:11">
      <c r="A246" s="4" t="s">
        <v>357</v>
      </c>
      <c r="B246" s="4" t="s">
        <v>357</v>
      </c>
      <c r="C246" s="4" t="s">
        <v>26</v>
      </c>
      <c r="D246" s="4" t="s">
        <v>358</v>
      </c>
      <c r="E246" s="4" t="s">
        <v>13</v>
      </c>
      <c r="F246" s="4" t="s">
        <v>289</v>
      </c>
      <c r="G246" s="4" t="s">
        <v>289</v>
      </c>
      <c r="H246" s="8">
        <v>1</v>
      </c>
      <c r="I246" s="8">
        <v>1</v>
      </c>
      <c r="J246">
        <f>INDEX(Cantones!C:C,MATCH(Tabelle2[[#This Row],[Cantón]],Cantones!A:A,0))</f>
        <v>-1.8167</v>
      </c>
      <c r="K246">
        <f>INDEX(Cantones!D:D,MATCH(Tabelle2[[#This Row],[Cantón]],Cantones!A:A,0))</f>
        <v>-79.5167</v>
      </c>
    </row>
    <row r="247" spans="1:11">
      <c r="A247" s="18" t="s">
        <v>68</v>
      </c>
      <c r="B247" s="6" t="s">
        <v>169</v>
      </c>
      <c r="C247" s="6" t="s">
        <v>170</v>
      </c>
      <c r="D247" s="6" t="s">
        <v>169</v>
      </c>
      <c r="E247" s="6" t="s">
        <v>66</v>
      </c>
      <c r="F247" s="6" t="s">
        <v>40</v>
      </c>
      <c r="G247" s="6" t="s">
        <v>51</v>
      </c>
      <c r="H247" s="9">
        <v>14.81</v>
      </c>
      <c r="I247" s="9">
        <v>12.79</v>
      </c>
      <c r="J247">
        <f>INDEX(Cantones!C:C,MATCH(Tabelle2[[#This Row],[Cantón]],Cantones!A:A,0))</f>
        <v>-0.6663</v>
      </c>
      <c r="K247">
        <f>INDEX(Cantones!D:D,MATCH(Tabelle2[[#This Row],[Cantón]],Cantones!A:A,0))</f>
        <v>-90.333299999999994</v>
      </c>
    </row>
    <row r="248" spans="1:11" ht="23">
      <c r="A248" s="31" t="s">
        <v>275</v>
      </c>
      <c r="B248" s="31" t="s">
        <v>455</v>
      </c>
      <c r="C248" s="6" t="s">
        <v>170</v>
      </c>
      <c r="D248" s="31" t="s">
        <v>169</v>
      </c>
      <c r="E248" s="6" t="s">
        <v>66</v>
      </c>
      <c r="F248" s="6" t="s">
        <v>289</v>
      </c>
      <c r="G248" s="31" t="s">
        <v>289</v>
      </c>
      <c r="H248" s="32">
        <v>0.01</v>
      </c>
      <c r="I248" s="9">
        <v>0.01</v>
      </c>
      <c r="J248">
        <f>INDEX(Cantones!C:C,MATCH(Tabelle2[[#This Row],[Cantón]],Cantones!A:A,0))</f>
        <v>-0.6663</v>
      </c>
      <c r="K248">
        <f>INDEX(Cantones!D:D,MATCH(Tabelle2[[#This Row],[Cantón]],Cantones!A:A,0))</f>
        <v>-90.333299999999994</v>
      </c>
    </row>
    <row r="249" spans="1:11" ht="23">
      <c r="A249" s="11" t="s">
        <v>275</v>
      </c>
      <c r="B249" s="19" t="s">
        <v>308</v>
      </c>
      <c r="C249" s="6" t="s">
        <v>170</v>
      </c>
      <c r="D249" s="6" t="s">
        <v>169</v>
      </c>
      <c r="E249" s="6" t="s">
        <v>66</v>
      </c>
      <c r="F249" s="6" t="s">
        <v>289</v>
      </c>
      <c r="G249" s="6" t="s">
        <v>289</v>
      </c>
      <c r="H249" s="9">
        <v>1.52</v>
      </c>
      <c r="I249" s="9">
        <v>1.52</v>
      </c>
      <c r="J249">
        <f>INDEX(Cantones!C:C,MATCH(Tabelle2[[#This Row],[Cantón]],Cantones!A:A,0))</f>
        <v>-0.6663</v>
      </c>
      <c r="K249">
        <f>INDEX(Cantones!D:D,MATCH(Tabelle2[[#This Row],[Cantón]],Cantones!A:A,0))</f>
        <v>-90.333299999999994</v>
      </c>
    </row>
    <row r="250" spans="1:11">
      <c r="A250" s="6" t="s">
        <v>63</v>
      </c>
      <c r="B250" s="6" t="s">
        <v>81</v>
      </c>
      <c r="C250" s="6" t="s">
        <v>78</v>
      </c>
      <c r="D250" s="6" t="s">
        <v>102</v>
      </c>
      <c r="E250" s="6" t="s">
        <v>66</v>
      </c>
      <c r="F250" s="6" t="s">
        <v>40</v>
      </c>
      <c r="G250" s="6" t="s">
        <v>51</v>
      </c>
      <c r="H250" s="9">
        <v>2.5</v>
      </c>
      <c r="I250" s="9">
        <v>1.31</v>
      </c>
      <c r="J250">
        <f>INDEX(Cantones!C:C,MATCH(Tabelle2[[#This Row],[Cantón]],Cantones!A:A,0))</f>
        <v>-0.28860940000000002</v>
      </c>
      <c r="K250">
        <f>INDEX(Cantones!D:D,MATCH(Tabelle2[[#This Row],[Cantón]],Cantones!A:A,0))</f>
        <v>-76.590663199999995</v>
      </c>
    </row>
    <row r="251" spans="1:11">
      <c r="A251" s="6" t="s">
        <v>37</v>
      </c>
      <c r="B251" s="6" t="s">
        <v>80</v>
      </c>
      <c r="C251" s="6" t="s">
        <v>81</v>
      </c>
      <c r="D251" s="6" t="s">
        <v>81</v>
      </c>
      <c r="E251" s="6" t="s">
        <v>13</v>
      </c>
      <c r="F251" s="6" t="s">
        <v>40</v>
      </c>
      <c r="G251" s="6" t="s">
        <v>51</v>
      </c>
      <c r="H251" s="9">
        <v>90.1</v>
      </c>
      <c r="I251" s="9">
        <v>65.03</v>
      </c>
      <c r="J251">
        <f>INDEX(Cantones!C:C,MATCH(Tabelle2[[#This Row],[Cantón]],Cantones!A:A,0))</f>
        <v>-2.1954593</v>
      </c>
      <c r="K251">
        <f>INDEX(Cantones!D:D,MATCH(Tabelle2[[#This Row],[Cantón]],Cantones!A:A,0))</f>
        <v>-80.566916699999993</v>
      </c>
    </row>
    <row r="252" spans="1:11">
      <c r="A252" s="13" t="s">
        <v>37</v>
      </c>
      <c r="B252" s="4" t="s">
        <v>105</v>
      </c>
      <c r="C252" s="4" t="s">
        <v>81</v>
      </c>
      <c r="D252" s="4" t="s">
        <v>81</v>
      </c>
      <c r="E252" s="4" t="s">
        <v>13</v>
      </c>
      <c r="F252" s="4" t="s">
        <v>40</v>
      </c>
      <c r="G252" s="4" t="s">
        <v>51</v>
      </c>
      <c r="H252" s="8">
        <v>41.7</v>
      </c>
      <c r="I252" s="8">
        <v>40</v>
      </c>
      <c r="J252">
        <f>INDEX(Cantones!C:C,MATCH(Tabelle2[[#This Row],[Cantón]],Cantones!A:A,0))</f>
        <v>-2.1954593</v>
      </c>
      <c r="K252">
        <f>INDEX(Cantones!D:D,MATCH(Tabelle2[[#This Row],[Cantón]],Cantones!A:A,0))</f>
        <v>-80.566916699999993</v>
      </c>
    </row>
    <row r="253" spans="1:11">
      <c r="A253" s="10" t="s">
        <v>68</v>
      </c>
      <c r="B253" s="4" t="s">
        <v>86</v>
      </c>
      <c r="C253" s="4" t="s">
        <v>87</v>
      </c>
      <c r="D253" s="33" t="s">
        <v>529</v>
      </c>
      <c r="E253" s="4" t="s">
        <v>13</v>
      </c>
      <c r="F253" s="4" t="s">
        <v>40</v>
      </c>
      <c r="G253" s="4" t="s">
        <v>47</v>
      </c>
      <c r="H253" s="8">
        <v>71.099999999999994</v>
      </c>
      <c r="I253" s="8">
        <v>51</v>
      </c>
      <c r="J253">
        <f>INDEX(Cantones!C:C,MATCH(Tabelle2[[#This Row],[Cantón]],Cantones!A:A,0))</f>
        <v>-0.49847740000000001</v>
      </c>
      <c r="K253">
        <f>INDEX(Cantones!D:D,MATCH(Tabelle2[[#This Row],[Cantón]],Cantones!A:A,0))</f>
        <v>-78.651691499999998</v>
      </c>
    </row>
    <row r="254" spans="1:11">
      <c r="A254" s="4" t="s">
        <v>340</v>
      </c>
      <c r="B254" s="4" t="s">
        <v>340</v>
      </c>
      <c r="C254" s="4" t="s">
        <v>45</v>
      </c>
      <c r="D254" s="4" t="s">
        <v>86</v>
      </c>
      <c r="E254" s="4" t="s">
        <v>13</v>
      </c>
      <c r="F254" s="4" t="s">
        <v>289</v>
      </c>
      <c r="G254" s="4" t="s">
        <v>289</v>
      </c>
      <c r="H254" s="8">
        <v>1</v>
      </c>
      <c r="I254" s="8">
        <v>1</v>
      </c>
      <c r="J254">
        <f>INDEX(Cantones!C:C,MATCH(Tabelle2[[#This Row],[Cantón]],Cantones!A:A,0))</f>
        <v>-3.4145539</v>
      </c>
      <c r="K254">
        <f>INDEX(Cantones!D:D,MATCH(Tabelle2[[#This Row],[Cantón]],Cantones!A:A,0))</f>
        <v>-80.154904000000002</v>
      </c>
    </row>
    <row r="255" spans="1:11">
      <c r="A255" s="6" t="s">
        <v>114</v>
      </c>
      <c r="B255" s="6" t="s">
        <v>206</v>
      </c>
      <c r="C255" s="6" t="s">
        <v>11</v>
      </c>
      <c r="D255" s="6" t="s">
        <v>207</v>
      </c>
      <c r="E255" s="6" t="s">
        <v>66</v>
      </c>
      <c r="F255" s="6" t="s">
        <v>40</v>
      </c>
      <c r="G255" s="6" t="s">
        <v>51</v>
      </c>
      <c r="H255" s="9">
        <v>9</v>
      </c>
      <c r="I255" s="9">
        <v>7.78</v>
      </c>
      <c r="J255">
        <f>INDEX(Cantones!C:C,MATCH(Tabelle2[[#This Row],[Cantón]],Cantones!A:A,0))</f>
        <v>-0.91359999999999997</v>
      </c>
      <c r="K255">
        <f>INDEX(Cantones!D:D,MATCH(Tabelle2[[#This Row],[Cantón]],Cantones!A:A,0))</f>
        <v>-77.805999999999997</v>
      </c>
    </row>
    <row r="256" spans="1:11">
      <c r="A256" s="15" t="s">
        <v>219</v>
      </c>
      <c r="B256" s="4" t="s">
        <v>231</v>
      </c>
      <c r="C256" s="4" t="s">
        <v>11</v>
      </c>
      <c r="D256" s="4" t="s">
        <v>188</v>
      </c>
      <c r="E256" s="4" t="s">
        <v>66</v>
      </c>
      <c r="F256" s="4" t="s">
        <v>40</v>
      </c>
      <c r="G256" s="4" t="s">
        <v>51</v>
      </c>
      <c r="H256" s="8">
        <v>6.66</v>
      </c>
      <c r="I256" s="8">
        <v>5.33</v>
      </c>
      <c r="J256">
        <f>INDEX(Cantones!C:C,MATCH(Tabelle2[[#This Row],[Cantón]],Cantones!A:A,0))</f>
        <v>-0.22229670000000001</v>
      </c>
      <c r="K256">
        <f>INDEX(Cantones!D:D,MATCH(Tabelle2[[#This Row],[Cantón]],Cantones!A:A,0))</f>
        <v>-78.523431299999999</v>
      </c>
    </row>
    <row r="257" spans="1:11">
      <c r="A257" s="4" t="s">
        <v>135</v>
      </c>
      <c r="B257" s="4" t="s">
        <v>140</v>
      </c>
      <c r="C257" s="4" t="s">
        <v>18</v>
      </c>
      <c r="D257" s="4" t="s">
        <v>141</v>
      </c>
      <c r="E257" s="4" t="s">
        <v>13</v>
      </c>
      <c r="F257" s="4" t="s">
        <v>14</v>
      </c>
      <c r="G257" s="4" t="s">
        <v>15</v>
      </c>
      <c r="H257" s="8">
        <v>24</v>
      </c>
      <c r="I257" s="8">
        <v>24</v>
      </c>
      <c r="J257">
        <f>INDEX(Cantones!C:C,MATCH(Tabelle2[[#This Row],[Cantón]],Cantones!A:A,0))</f>
        <v>-2.9005999999999998</v>
      </c>
      <c r="K257">
        <f>INDEX(Cantones!D:D,MATCH(Tabelle2[[#This Row],[Cantón]],Cantones!A:A,0))</f>
        <v>-79.004499999999993</v>
      </c>
    </row>
    <row r="258" spans="1:11">
      <c r="A258" s="4" t="s">
        <v>135</v>
      </c>
      <c r="B258" s="4" t="s">
        <v>158</v>
      </c>
      <c r="C258" s="4" t="s">
        <v>18</v>
      </c>
      <c r="D258" s="4" t="s">
        <v>141</v>
      </c>
      <c r="E258" s="4" t="s">
        <v>13</v>
      </c>
      <c r="F258" s="4" t="s">
        <v>14</v>
      </c>
      <c r="G258" s="4" t="s">
        <v>15</v>
      </c>
      <c r="H258" s="8">
        <v>15.52</v>
      </c>
      <c r="I258" s="8">
        <v>15.52</v>
      </c>
      <c r="J258">
        <f>INDEX(Cantones!C:C,MATCH(Tabelle2[[#This Row],[Cantón]],Cantones!A:A,0))</f>
        <v>-2.9005999999999998</v>
      </c>
      <c r="K258">
        <f>INDEX(Cantones!D:D,MATCH(Tabelle2[[#This Row],[Cantón]],Cantones!A:A,0))</f>
        <v>-79.004499999999993</v>
      </c>
    </row>
    <row r="259" spans="1:11">
      <c r="A259" s="11" t="s">
        <v>63</v>
      </c>
      <c r="B259" s="6" t="s">
        <v>133</v>
      </c>
      <c r="C259" s="6" t="s">
        <v>78</v>
      </c>
      <c r="D259" s="6" t="s">
        <v>134</v>
      </c>
      <c r="E259" s="6" t="s">
        <v>66</v>
      </c>
      <c r="F259" s="6" t="s">
        <v>40</v>
      </c>
      <c r="G259" s="6" t="s">
        <v>51</v>
      </c>
      <c r="H259" s="9">
        <v>29.75</v>
      </c>
      <c r="I259" s="9">
        <v>26.27</v>
      </c>
      <c r="J259">
        <f>INDEX(Cantones!C:C,MATCH(Tabelle2[[#This Row],[Cantón]],Cantones!A:A,0))</f>
        <v>8.5400000000000004E-2</v>
      </c>
      <c r="K259">
        <f>INDEX(Cantones!D:D,MATCH(Tabelle2[[#This Row],[Cantón]],Cantones!A:A,0))</f>
        <v>-76.891499999999994</v>
      </c>
    </row>
    <row r="260" spans="1:11">
      <c r="A260" s="6" t="s">
        <v>68</v>
      </c>
      <c r="B260" s="6" t="s">
        <v>133</v>
      </c>
      <c r="C260" s="6" t="s">
        <v>78</v>
      </c>
      <c r="D260" s="6" t="s">
        <v>134</v>
      </c>
      <c r="E260" s="6" t="s">
        <v>66</v>
      </c>
      <c r="F260" s="6" t="s">
        <v>40</v>
      </c>
      <c r="G260" s="6" t="s">
        <v>51</v>
      </c>
      <c r="H260" s="9">
        <v>10</v>
      </c>
      <c r="I260" s="9">
        <v>8</v>
      </c>
      <c r="J260">
        <f>INDEX(Cantones!C:C,MATCH(Tabelle2[[#This Row],[Cantón]],Cantones!A:A,0))</f>
        <v>8.5400000000000004E-2</v>
      </c>
      <c r="K260">
        <f>INDEX(Cantones!D:D,MATCH(Tabelle2[[#This Row],[Cantón]],Cantones!A:A,0))</f>
        <v>-76.891499999999994</v>
      </c>
    </row>
    <row r="261" spans="1:11">
      <c r="A261" s="6" t="s">
        <v>137</v>
      </c>
      <c r="B261" s="6" t="s">
        <v>138</v>
      </c>
      <c r="C261" s="6" t="s">
        <v>83</v>
      </c>
      <c r="D261" s="27" t="s">
        <v>543</v>
      </c>
      <c r="E261" s="6" t="s">
        <v>13</v>
      </c>
      <c r="F261" s="6" t="s">
        <v>40</v>
      </c>
      <c r="G261" s="6" t="s">
        <v>51</v>
      </c>
      <c r="H261" s="9">
        <v>29.28</v>
      </c>
      <c r="I261" s="9">
        <v>24.3</v>
      </c>
      <c r="J261">
        <f>INDEX(Cantones!C:C,MATCH(Tabelle2[[#This Row],[Cantón]],Cantones!A:A,0))</f>
        <v>0.23330000000000001</v>
      </c>
      <c r="K261">
        <f>INDEX(Cantones!D:D,MATCH(Tabelle2[[#This Row],[Cantón]],Cantones!A:A,0))</f>
        <v>-78.2667</v>
      </c>
    </row>
    <row r="262" spans="1:11">
      <c r="A262" s="23" t="s">
        <v>76</v>
      </c>
      <c r="B262" s="4" t="s">
        <v>376</v>
      </c>
      <c r="C262" s="4" t="s">
        <v>65</v>
      </c>
      <c r="D262" s="4" t="s">
        <v>65</v>
      </c>
      <c r="E262" s="4" t="s">
        <v>66</v>
      </c>
      <c r="F262" s="4" t="s">
        <v>40</v>
      </c>
      <c r="G262" s="4" t="s">
        <v>51</v>
      </c>
      <c r="H262" s="8">
        <v>0.9</v>
      </c>
      <c r="I262" s="8">
        <v>0.8</v>
      </c>
      <c r="J262">
        <f>INDEX(Cantones!C:C,MATCH(Tabelle2[[#This Row],[Cantón]],Cantones!A:A,0))</f>
        <v>-0.78617999999999999</v>
      </c>
      <c r="K262">
        <f>INDEX(Cantones!D:D,MATCH(Tabelle2[[#This Row],[Cantón]],Cantones!A:A,0))</f>
        <v>-76.480318400000002</v>
      </c>
    </row>
    <row r="263" spans="1:11">
      <c r="A263" s="6" t="s">
        <v>63</v>
      </c>
      <c r="B263" s="6" t="s">
        <v>102</v>
      </c>
      <c r="C263" s="6" t="s">
        <v>78</v>
      </c>
      <c r="D263" s="6" t="s">
        <v>102</v>
      </c>
      <c r="E263" s="6" t="s">
        <v>66</v>
      </c>
      <c r="F263" s="6" t="s">
        <v>40</v>
      </c>
      <c r="G263" s="6" t="s">
        <v>47</v>
      </c>
      <c r="H263" s="9">
        <v>11.75</v>
      </c>
      <c r="I263" s="9">
        <v>10</v>
      </c>
      <c r="J263">
        <f>INDEX(Cantones!C:C,MATCH(Tabelle2[[#This Row],[Cantón]],Cantones!A:A,0))</f>
        <v>-0.28860940000000002</v>
      </c>
      <c r="K263">
        <f>INDEX(Cantones!D:D,MATCH(Tabelle2[[#This Row],[Cantón]],Cantones!A:A,0))</f>
        <v>-76.590663199999995</v>
      </c>
    </row>
    <row r="264" spans="1:11" ht="23">
      <c r="A264" s="6" t="s">
        <v>63</v>
      </c>
      <c r="B264" s="19" t="s">
        <v>190</v>
      </c>
      <c r="C264" s="6" t="s">
        <v>78</v>
      </c>
      <c r="D264" s="6" t="s">
        <v>102</v>
      </c>
      <c r="E264" s="6" t="s">
        <v>66</v>
      </c>
      <c r="F264" s="6" t="s">
        <v>40</v>
      </c>
      <c r="G264" s="6" t="s">
        <v>51</v>
      </c>
      <c r="H264" s="9">
        <v>14.63</v>
      </c>
      <c r="I264" s="9">
        <v>9.77</v>
      </c>
      <c r="J264">
        <f>INDEX(Cantones!C:C,MATCH(Tabelle2[[#This Row],[Cantón]],Cantones!A:A,0))</f>
        <v>-0.28860940000000002</v>
      </c>
      <c r="K264">
        <f>INDEX(Cantones!D:D,MATCH(Tabelle2[[#This Row],[Cantón]],Cantones!A:A,0))</f>
        <v>-76.590663199999995</v>
      </c>
    </row>
    <row r="265" spans="1:11">
      <c r="A265" s="4" t="s">
        <v>63</v>
      </c>
      <c r="B265" s="4" t="s">
        <v>278</v>
      </c>
      <c r="C265" s="4" t="s">
        <v>78</v>
      </c>
      <c r="D265" s="4" t="s">
        <v>102</v>
      </c>
      <c r="E265" s="4" t="s">
        <v>66</v>
      </c>
      <c r="F265" s="4" t="s">
        <v>40</v>
      </c>
      <c r="G265" s="4" t="s">
        <v>51</v>
      </c>
      <c r="H265" s="8">
        <v>3.15</v>
      </c>
      <c r="I265" s="8">
        <v>2.37</v>
      </c>
      <c r="J265">
        <f>INDEX(Cantones!C:C,MATCH(Tabelle2[[#This Row],[Cantón]],Cantones!A:A,0))</f>
        <v>-0.28860940000000002</v>
      </c>
      <c r="K265">
        <f>INDEX(Cantones!D:D,MATCH(Tabelle2[[#This Row],[Cantón]],Cantones!A:A,0))</f>
        <v>-76.590663199999995</v>
      </c>
    </row>
    <row r="266" spans="1:11">
      <c r="A266" s="15" t="s">
        <v>165</v>
      </c>
      <c r="B266" s="4" t="s">
        <v>166</v>
      </c>
      <c r="C266" s="4" t="s">
        <v>70</v>
      </c>
      <c r="D266" s="4" t="s">
        <v>167</v>
      </c>
      <c r="E266" s="4" t="s">
        <v>13</v>
      </c>
      <c r="F266" s="4" t="s">
        <v>14</v>
      </c>
      <c r="G266" s="4" t="s">
        <v>15</v>
      </c>
      <c r="H266" s="8">
        <v>15.37</v>
      </c>
      <c r="I266" s="8">
        <v>14.2</v>
      </c>
      <c r="J266">
        <f>INDEX(Cantones!C:C,MATCH(Tabelle2[[#This Row],[Cantón]],Cantones!A:A,0))</f>
        <v>-1.3335519</v>
      </c>
      <c r="K266">
        <f>INDEX(Cantones!D:D,MATCH(Tabelle2[[#This Row],[Cantón]],Cantones!A:A,0))</f>
        <v>-79.336900900000003</v>
      </c>
    </row>
    <row r="267" spans="1:11">
      <c r="A267" s="11" t="s">
        <v>147</v>
      </c>
      <c r="B267" s="6" t="s">
        <v>148</v>
      </c>
      <c r="C267" s="6" t="s">
        <v>149</v>
      </c>
      <c r="D267" s="6" t="s">
        <v>148</v>
      </c>
      <c r="E267" s="6" t="s">
        <v>13</v>
      </c>
      <c r="F267" s="6" t="s">
        <v>14</v>
      </c>
      <c r="G267" s="6" t="s">
        <v>15</v>
      </c>
      <c r="H267" s="9">
        <v>18.600000000000001</v>
      </c>
      <c r="I267" s="9">
        <v>18.39</v>
      </c>
      <c r="J267">
        <f>INDEX(Cantones!C:C,MATCH(Tabelle2[[#This Row],[Cantón]],Cantones!A:A,0))</f>
        <v>-0.6130215</v>
      </c>
      <c r="K267">
        <f>INDEX(Cantones!D:D,MATCH(Tabelle2[[#This Row],[Cantón]],Cantones!A:A,0))</f>
        <v>-78.881861599999993</v>
      </c>
    </row>
    <row r="268" spans="1:11">
      <c r="A268" s="4" t="s">
        <v>421</v>
      </c>
      <c r="B268" s="4" t="s">
        <v>447</v>
      </c>
      <c r="C268" s="4" t="s">
        <v>87</v>
      </c>
      <c r="D268" s="33" t="s">
        <v>529</v>
      </c>
      <c r="E268" s="4" t="s">
        <v>13</v>
      </c>
      <c r="F268" s="4" t="s">
        <v>14</v>
      </c>
      <c r="G268" s="4" t="s">
        <v>15</v>
      </c>
      <c r="H268" s="8">
        <v>0.1</v>
      </c>
      <c r="I268" s="8">
        <v>0.09</v>
      </c>
      <c r="J268">
        <f>INDEX(Cantones!C:C,MATCH(Tabelle2[[#This Row],[Cantón]],Cantones!A:A,0))</f>
        <v>-0.49847740000000001</v>
      </c>
      <c r="K268">
        <f>INDEX(Cantones!D:D,MATCH(Tabelle2[[#This Row],[Cantón]],Cantones!A:A,0))</f>
        <v>-78.651691499999998</v>
      </c>
    </row>
    <row r="269" spans="1:11">
      <c r="A269" s="6" t="s">
        <v>421</v>
      </c>
      <c r="B269" s="6" t="s">
        <v>422</v>
      </c>
      <c r="C269" s="6" t="s">
        <v>87</v>
      </c>
      <c r="D269" s="27" t="s">
        <v>529</v>
      </c>
      <c r="E269" s="6" t="s">
        <v>13</v>
      </c>
      <c r="F269" s="6" t="s">
        <v>14</v>
      </c>
      <c r="G269" s="6" t="s">
        <v>15</v>
      </c>
      <c r="H269" s="9">
        <v>0.3</v>
      </c>
      <c r="I269" s="9">
        <v>0.3</v>
      </c>
      <c r="J269">
        <f>INDEX(Cantones!C:C,MATCH(Tabelle2[[#This Row],[Cantón]],Cantones!A:A,0))</f>
        <v>-0.49847740000000001</v>
      </c>
      <c r="K269">
        <f>INDEX(Cantones!D:D,MATCH(Tabelle2[[#This Row],[Cantón]],Cantones!A:A,0))</f>
        <v>-78.651691499999998</v>
      </c>
    </row>
    <row r="270" spans="1:11">
      <c r="A270" s="4" t="s">
        <v>68</v>
      </c>
      <c r="B270" s="4" t="s">
        <v>191</v>
      </c>
      <c r="C270" s="4" t="s">
        <v>78</v>
      </c>
      <c r="D270" s="4" t="s">
        <v>192</v>
      </c>
      <c r="E270" s="4" t="s">
        <v>66</v>
      </c>
      <c r="F270" s="4" t="s">
        <v>40</v>
      </c>
      <c r="G270" s="4" t="s">
        <v>51</v>
      </c>
      <c r="H270" s="8">
        <v>9.6</v>
      </c>
      <c r="I270" s="8">
        <v>9.4</v>
      </c>
      <c r="J270">
        <f>INDEX(Cantones!C:C,MATCH(Tabelle2[[#This Row],[Cantón]],Cantones!A:A,0))</f>
        <v>6.6699999999999995E-2</v>
      </c>
      <c r="K270">
        <f>INDEX(Cantones!D:D,MATCH(Tabelle2[[#This Row],[Cantón]],Cantones!A:A,0))</f>
        <v>-75.933300000000003</v>
      </c>
    </row>
    <row r="271" spans="1:11">
      <c r="A271" s="6" t="s">
        <v>346</v>
      </c>
      <c r="B271" s="6" t="s">
        <v>346</v>
      </c>
      <c r="C271" s="6" t="s">
        <v>45</v>
      </c>
      <c r="D271" s="6" t="s">
        <v>86</v>
      </c>
      <c r="E271" s="6" t="s">
        <v>13</v>
      </c>
      <c r="F271" s="6" t="s">
        <v>289</v>
      </c>
      <c r="G271" s="6" t="s">
        <v>289</v>
      </c>
      <c r="H271" s="9">
        <v>1</v>
      </c>
      <c r="I271" s="9">
        <v>1</v>
      </c>
      <c r="J271">
        <f>INDEX(Cantones!C:C,MATCH(Tabelle2[[#This Row],[Cantón]],Cantones!A:A,0))</f>
        <v>-3.4145539</v>
      </c>
      <c r="K271">
        <f>INDEX(Cantones!D:D,MATCH(Tabelle2[[#This Row],[Cantón]],Cantones!A:A,0))</f>
        <v>-80.154904000000002</v>
      </c>
    </row>
    <row r="272" spans="1:11">
      <c r="A272" s="4" t="s">
        <v>347</v>
      </c>
      <c r="B272" s="4" t="s">
        <v>347</v>
      </c>
      <c r="C272" s="4" t="s">
        <v>45</v>
      </c>
      <c r="D272" s="4" t="s">
        <v>86</v>
      </c>
      <c r="E272" s="4" t="s">
        <v>13</v>
      </c>
      <c r="F272" s="4" t="s">
        <v>289</v>
      </c>
      <c r="G272" s="4" t="s">
        <v>289</v>
      </c>
      <c r="H272" s="8">
        <v>1</v>
      </c>
      <c r="I272" s="8">
        <v>1</v>
      </c>
      <c r="J272">
        <f>INDEX(Cantones!C:C,MATCH(Tabelle2[[#This Row],[Cantón]],Cantones!A:A,0))</f>
        <v>-3.4145539</v>
      </c>
      <c r="K272">
        <f>INDEX(Cantones!D:D,MATCH(Tabelle2[[#This Row],[Cantón]],Cantones!A:A,0))</f>
        <v>-80.154904000000002</v>
      </c>
    </row>
    <row r="273" spans="1:11">
      <c r="A273" s="22" t="s">
        <v>348</v>
      </c>
      <c r="B273" s="6" t="s">
        <v>348</v>
      </c>
      <c r="C273" s="6" t="s">
        <v>45</v>
      </c>
      <c r="D273" s="6" t="s">
        <v>86</v>
      </c>
      <c r="E273" s="6" t="s">
        <v>13</v>
      </c>
      <c r="F273" s="6" t="s">
        <v>289</v>
      </c>
      <c r="G273" s="6" t="s">
        <v>289</v>
      </c>
      <c r="H273" s="9">
        <v>1</v>
      </c>
      <c r="I273" s="9">
        <v>1</v>
      </c>
      <c r="J273">
        <f>INDEX(Cantones!C:C,MATCH(Tabelle2[[#This Row],[Cantón]],Cantones!A:A,0))</f>
        <v>-3.4145539</v>
      </c>
      <c r="K273">
        <f>INDEX(Cantones!D:D,MATCH(Tabelle2[[#This Row],[Cantón]],Cantones!A:A,0))</f>
        <v>-80.154904000000002</v>
      </c>
    </row>
    <row r="274" spans="1:11">
      <c r="A274" s="6" t="s">
        <v>341</v>
      </c>
      <c r="B274" s="6" t="s">
        <v>341</v>
      </c>
      <c r="C274" s="6" t="s">
        <v>45</v>
      </c>
      <c r="D274" s="6" t="s">
        <v>86</v>
      </c>
      <c r="E274" s="6" t="s">
        <v>13</v>
      </c>
      <c r="F274" s="6" t="s">
        <v>289</v>
      </c>
      <c r="G274" s="6" t="s">
        <v>289</v>
      </c>
      <c r="H274" s="9">
        <v>1</v>
      </c>
      <c r="I274" s="9">
        <v>1</v>
      </c>
      <c r="J274">
        <f>INDEX(Cantones!C:C,MATCH(Tabelle2[[#This Row],[Cantón]],Cantones!A:A,0))</f>
        <v>-3.4145539</v>
      </c>
      <c r="K274">
        <f>INDEX(Cantones!D:D,MATCH(Tabelle2[[#This Row],[Cantón]],Cantones!A:A,0))</f>
        <v>-80.154904000000002</v>
      </c>
    </row>
    <row r="275" spans="1:11">
      <c r="A275" s="4" t="s">
        <v>16</v>
      </c>
      <c r="B275" s="4" t="s">
        <v>21</v>
      </c>
      <c r="C275" s="4" t="s">
        <v>18</v>
      </c>
      <c r="D275" s="4" t="s">
        <v>19</v>
      </c>
      <c r="E275" s="4" t="s">
        <v>13</v>
      </c>
      <c r="F275" s="4" t="s">
        <v>14</v>
      </c>
      <c r="G275" s="4" t="s">
        <v>15</v>
      </c>
      <c r="H275" s="8">
        <v>487</v>
      </c>
      <c r="I275" s="8">
        <v>486.9</v>
      </c>
      <c r="J275">
        <f>INDEX(Cantones!C:C,MATCH(Tabelle2[[#This Row],[Cantón]],Cantones!A:A,0))</f>
        <v>-2.7051607999999998</v>
      </c>
      <c r="K275">
        <f>INDEX(Cantones!D:D,MATCH(Tabelle2[[#This Row],[Cantón]],Cantones!A:A,0))</f>
        <v>-78.601438700000003</v>
      </c>
    </row>
    <row r="276" spans="1:11">
      <c r="A276" s="6" t="s">
        <v>63</v>
      </c>
      <c r="B276" s="6" t="s">
        <v>415</v>
      </c>
      <c r="C276" s="6" t="s">
        <v>78</v>
      </c>
      <c r="D276" s="6" t="s">
        <v>102</v>
      </c>
      <c r="E276" s="6" t="s">
        <v>66</v>
      </c>
      <c r="F276" s="6" t="s">
        <v>40</v>
      </c>
      <c r="G276" s="6" t="s">
        <v>51</v>
      </c>
      <c r="H276" s="9">
        <v>0.83</v>
      </c>
      <c r="I276" s="9">
        <v>0.35</v>
      </c>
      <c r="J276">
        <f>INDEX(Cantones!C:C,MATCH(Tabelle2[[#This Row],[Cantón]],Cantones!A:A,0))</f>
        <v>-0.28860940000000002</v>
      </c>
      <c r="K276">
        <f>INDEX(Cantones!D:D,MATCH(Tabelle2[[#This Row],[Cantón]],Cantones!A:A,0))</f>
        <v>-76.590663199999995</v>
      </c>
    </row>
    <row r="277" spans="1:11">
      <c r="A277" s="4" t="s">
        <v>309</v>
      </c>
      <c r="B277" s="4" t="s">
        <v>402</v>
      </c>
      <c r="C277" s="4" t="s">
        <v>78</v>
      </c>
      <c r="D277" s="4" t="s">
        <v>311</v>
      </c>
      <c r="E277" s="4" t="s">
        <v>66</v>
      </c>
      <c r="F277" s="4" t="s">
        <v>40</v>
      </c>
      <c r="G277" s="4" t="s">
        <v>51</v>
      </c>
      <c r="H277" s="8">
        <v>0.56999999999999995</v>
      </c>
      <c r="I277" s="8">
        <v>0.46</v>
      </c>
      <c r="J277">
        <f>INDEX(Cantones!C:C,MATCH(Tabelle2[[#This Row],[Cantón]],Cantones!A:A,0))</f>
        <v>8.0699999999999994E-2</v>
      </c>
      <c r="K277">
        <f>INDEX(Cantones!D:D,MATCH(Tabelle2[[#This Row],[Cantón]],Cantones!A:A,0))</f>
        <v>-77.564899999999994</v>
      </c>
    </row>
    <row r="278" spans="1:11">
      <c r="A278" s="6" t="s">
        <v>76</v>
      </c>
      <c r="B278" s="6" t="s">
        <v>279</v>
      </c>
      <c r="C278" s="6" t="s">
        <v>65</v>
      </c>
      <c r="D278" s="6" t="s">
        <v>65</v>
      </c>
      <c r="E278" s="6" t="s">
        <v>66</v>
      </c>
      <c r="F278" s="6" t="s">
        <v>40</v>
      </c>
      <c r="G278" s="6" t="s">
        <v>51</v>
      </c>
      <c r="H278" s="9">
        <v>2.76</v>
      </c>
      <c r="I278" s="9">
        <v>2.2999999999999998</v>
      </c>
      <c r="J278">
        <f>INDEX(Cantones!C:C,MATCH(Tabelle2[[#This Row],[Cantón]],Cantones!A:A,0))</f>
        <v>-0.78617999999999999</v>
      </c>
      <c r="K278">
        <f>INDEX(Cantones!D:D,MATCH(Tabelle2[[#This Row],[Cantón]],Cantones!A:A,0))</f>
        <v>-76.480318400000002</v>
      </c>
    </row>
    <row r="279" spans="1:11">
      <c r="A279" s="4" t="s">
        <v>76</v>
      </c>
      <c r="B279" s="4" t="s">
        <v>414</v>
      </c>
      <c r="C279" s="4" t="s">
        <v>65</v>
      </c>
      <c r="D279" s="4" t="s">
        <v>65</v>
      </c>
      <c r="E279" s="4" t="s">
        <v>66</v>
      </c>
      <c r="F279" s="4" t="s">
        <v>40</v>
      </c>
      <c r="G279" s="4" t="s">
        <v>51</v>
      </c>
      <c r="H279" s="8">
        <v>0.45</v>
      </c>
      <c r="I279" s="8">
        <v>0.36</v>
      </c>
      <c r="J279">
        <f>INDEX(Cantones!C:C,MATCH(Tabelle2[[#This Row],[Cantón]],Cantones!A:A,0))</f>
        <v>-0.78617999999999999</v>
      </c>
      <c r="K279">
        <f>INDEX(Cantones!D:D,MATCH(Tabelle2[[#This Row],[Cantón]],Cantones!A:A,0))</f>
        <v>-76.480318400000002</v>
      </c>
    </row>
    <row r="280" spans="1:11">
      <c r="A280" s="4" t="s">
        <v>345</v>
      </c>
      <c r="B280" s="4" t="s">
        <v>345</v>
      </c>
      <c r="C280" s="4" t="s">
        <v>155</v>
      </c>
      <c r="D280" s="4" t="s">
        <v>154</v>
      </c>
      <c r="E280" s="4" t="s">
        <v>13</v>
      </c>
      <c r="F280" s="4" t="s">
        <v>289</v>
      </c>
      <c r="G280" s="4" t="s">
        <v>289</v>
      </c>
      <c r="H280" s="8">
        <v>1</v>
      </c>
      <c r="I280" s="8">
        <v>1</v>
      </c>
      <c r="J280">
        <f>INDEX(Cantones!C:C,MATCH(Tabelle2[[#This Row],[Cantón]],Cantones!A:A,0))</f>
        <v>-3.9870000000000001</v>
      </c>
      <c r="K280">
        <f>INDEX(Cantones!D:D,MATCH(Tabelle2[[#This Row],[Cantón]],Cantones!A:A,0))</f>
        <v>-79.359200000000001</v>
      </c>
    </row>
    <row r="281" spans="1:11">
      <c r="A281" s="15" t="s">
        <v>411</v>
      </c>
      <c r="B281" s="4" t="s">
        <v>431</v>
      </c>
      <c r="C281" s="4" t="s">
        <v>89</v>
      </c>
      <c r="D281" s="4" t="s">
        <v>431</v>
      </c>
      <c r="E281" s="4" t="s">
        <v>66</v>
      </c>
      <c r="F281" s="4" t="s">
        <v>40</v>
      </c>
      <c r="G281" s="4" t="s">
        <v>41</v>
      </c>
      <c r="H281" s="8">
        <v>0.24</v>
      </c>
      <c r="I281" s="8">
        <v>0.24</v>
      </c>
      <c r="J281">
        <f>INDEX(Cantones!C:C,MATCH(Tabelle2[[#This Row],[Cantón]],Cantones!A:A,0))</f>
        <v>-2.3812384999999998</v>
      </c>
      <c r="K281">
        <f>INDEX(Cantones!D:D,MATCH(Tabelle2[[#This Row],[Cantón]],Cantones!A:A,0))</f>
        <v>-77.508746299999999</v>
      </c>
    </row>
    <row r="282" spans="1:11">
      <c r="A282" s="6" t="s">
        <v>63</v>
      </c>
      <c r="B282" s="6" t="s">
        <v>295</v>
      </c>
      <c r="C282" s="6" t="s">
        <v>65</v>
      </c>
      <c r="D282" s="6" t="s">
        <v>100</v>
      </c>
      <c r="E282" s="6" t="s">
        <v>66</v>
      </c>
      <c r="F282" s="6" t="s">
        <v>40</v>
      </c>
      <c r="G282" s="6" t="s">
        <v>51</v>
      </c>
      <c r="H282" s="9">
        <v>2.13</v>
      </c>
      <c r="I282" s="9">
        <v>1.84</v>
      </c>
      <c r="J282">
        <f>INDEX(Cantones!C:C,MATCH(Tabelle2[[#This Row],[Cantón]],Cantones!A:A,0))</f>
        <v>-0.98462320000000003</v>
      </c>
      <c r="K282">
        <f>INDEX(Cantones!D:D,MATCH(Tabelle2[[#This Row],[Cantón]],Cantones!A:A,0))</f>
        <v>-75.989153299999998</v>
      </c>
    </row>
    <row r="283" spans="1:11">
      <c r="A283" s="6" t="s">
        <v>63</v>
      </c>
      <c r="B283" s="6" t="s">
        <v>426</v>
      </c>
      <c r="C283" s="6" t="s">
        <v>65</v>
      </c>
      <c r="D283" s="6" t="s">
        <v>65</v>
      </c>
      <c r="E283" s="6" t="s">
        <v>66</v>
      </c>
      <c r="F283" s="6" t="s">
        <v>40</v>
      </c>
      <c r="G283" s="6" t="s">
        <v>51</v>
      </c>
      <c r="H283" s="9">
        <v>0.37</v>
      </c>
      <c r="I283" s="9">
        <v>0.28999999999999998</v>
      </c>
      <c r="J283">
        <f>INDEX(Cantones!C:C,MATCH(Tabelle2[[#This Row],[Cantón]],Cantones!A:A,0))</f>
        <v>-0.78617999999999999</v>
      </c>
      <c r="K283">
        <f>INDEX(Cantones!D:D,MATCH(Tabelle2[[#This Row],[Cantón]],Cantones!A:A,0))</f>
        <v>-76.480318400000002</v>
      </c>
    </row>
    <row r="284" spans="1:11">
      <c r="A284" s="11" t="s">
        <v>63</v>
      </c>
      <c r="B284" s="6" t="s">
        <v>248</v>
      </c>
      <c r="C284" s="6" t="s">
        <v>78</v>
      </c>
      <c r="D284" s="6" t="s">
        <v>134</v>
      </c>
      <c r="E284" s="6" t="s">
        <v>66</v>
      </c>
      <c r="F284" s="6" t="s">
        <v>40</v>
      </c>
      <c r="G284" s="6" t="s">
        <v>51</v>
      </c>
      <c r="H284" s="9">
        <v>5.21</v>
      </c>
      <c r="I284" s="9">
        <v>3.92</v>
      </c>
      <c r="J284">
        <f>INDEX(Cantones!C:C,MATCH(Tabelle2[[#This Row],[Cantón]],Cantones!A:A,0))</f>
        <v>8.5400000000000004E-2</v>
      </c>
      <c r="K284">
        <f>INDEX(Cantones!D:D,MATCH(Tabelle2[[#This Row],[Cantón]],Cantones!A:A,0))</f>
        <v>-76.891499999999994</v>
      </c>
    </row>
    <row r="285" spans="1:11">
      <c r="A285" s="6" t="s">
        <v>76</v>
      </c>
      <c r="B285" s="6" t="s">
        <v>224</v>
      </c>
      <c r="C285" s="6" t="s">
        <v>65</v>
      </c>
      <c r="D285" s="6" t="s">
        <v>65</v>
      </c>
      <c r="E285" s="6" t="s">
        <v>66</v>
      </c>
      <c r="F285" s="6" t="s">
        <v>40</v>
      </c>
      <c r="G285" s="6" t="s">
        <v>51</v>
      </c>
      <c r="H285" s="9">
        <v>6.56</v>
      </c>
      <c r="I285" s="9">
        <v>5.83</v>
      </c>
      <c r="J285">
        <f>INDEX(Cantones!C:C,MATCH(Tabelle2[[#This Row],[Cantón]],Cantones!A:A,0))</f>
        <v>-0.78617999999999999</v>
      </c>
      <c r="K285">
        <f>INDEX(Cantones!D:D,MATCH(Tabelle2[[#This Row],[Cantón]],Cantones!A:A,0))</f>
        <v>-76.480318400000002</v>
      </c>
    </row>
    <row r="286" spans="1:11">
      <c r="A286" s="4" t="s">
        <v>76</v>
      </c>
      <c r="B286" s="4" t="s">
        <v>318</v>
      </c>
      <c r="C286" s="4" t="s">
        <v>65</v>
      </c>
      <c r="D286" s="4" t="s">
        <v>65</v>
      </c>
      <c r="E286" s="4" t="s">
        <v>66</v>
      </c>
      <c r="F286" s="4" t="s">
        <v>40</v>
      </c>
      <c r="G286" s="4" t="s">
        <v>51</v>
      </c>
      <c r="H286" s="8">
        <v>1.52</v>
      </c>
      <c r="I286" s="8">
        <v>1.3</v>
      </c>
      <c r="J286">
        <f>INDEX(Cantones!C:C,MATCH(Tabelle2[[#This Row],[Cantón]],Cantones!A:A,0))</f>
        <v>-0.78617999999999999</v>
      </c>
      <c r="K286">
        <f>INDEX(Cantones!D:D,MATCH(Tabelle2[[#This Row],[Cantón]],Cantones!A:A,0))</f>
        <v>-76.480318400000002</v>
      </c>
    </row>
    <row r="287" spans="1:11">
      <c r="A287" s="6" t="s">
        <v>76</v>
      </c>
      <c r="B287" s="6" t="s">
        <v>391</v>
      </c>
      <c r="C287" s="6" t="s">
        <v>78</v>
      </c>
      <c r="D287" s="6" t="s">
        <v>79</v>
      </c>
      <c r="E287" s="6" t="s">
        <v>66</v>
      </c>
      <c r="F287" s="6" t="s">
        <v>40</v>
      </c>
      <c r="G287" s="6" t="s">
        <v>51</v>
      </c>
      <c r="H287" s="9">
        <v>0.79</v>
      </c>
      <c r="I287" s="9">
        <v>0.64</v>
      </c>
      <c r="J287">
        <f>INDEX(Cantones!C:C,MATCH(Tabelle2[[#This Row],[Cantón]],Cantones!A:A,0))</f>
        <v>-0.26551140000000001</v>
      </c>
      <c r="K287">
        <f>INDEX(Cantones!D:D,MATCH(Tabelle2[[#This Row],[Cantón]],Cantones!A:A,0))</f>
        <v>-75.892069199999995</v>
      </c>
    </row>
    <row r="288" spans="1:11">
      <c r="A288" s="6" t="s">
        <v>219</v>
      </c>
      <c r="B288" s="6" t="s">
        <v>302</v>
      </c>
      <c r="C288" s="6" t="s">
        <v>54</v>
      </c>
      <c r="D288" s="6" t="s">
        <v>54</v>
      </c>
      <c r="E288" s="6" t="s">
        <v>66</v>
      </c>
      <c r="F288" s="6" t="s">
        <v>40</v>
      </c>
      <c r="G288" s="6" t="s">
        <v>51</v>
      </c>
      <c r="H288" s="9">
        <v>1.72</v>
      </c>
      <c r="I288" s="9">
        <v>1.72</v>
      </c>
      <c r="J288">
        <f>INDEX(Cantones!C:C,MATCH(Tabelle2[[#This Row],[Cantón]],Cantones!A:A,0))</f>
        <v>0.73436190000000001</v>
      </c>
      <c r="K288">
        <f>INDEX(Cantones!D:D,MATCH(Tabelle2[[#This Row],[Cantón]],Cantones!A:A,0))</f>
        <v>-79.3858867</v>
      </c>
    </row>
    <row r="289" spans="1:11">
      <c r="A289" s="6" t="s">
        <v>43</v>
      </c>
      <c r="B289" s="6" t="s">
        <v>44</v>
      </c>
      <c r="C289" s="6" t="s">
        <v>45</v>
      </c>
      <c r="D289" s="6" t="s">
        <v>46</v>
      </c>
      <c r="E289" s="6" t="s">
        <v>13</v>
      </c>
      <c r="F289" s="6" t="s">
        <v>40</v>
      </c>
      <c r="G289" s="6" t="s">
        <v>47</v>
      </c>
      <c r="H289" s="9">
        <v>138.56</v>
      </c>
      <c r="I289" s="9">
        <v>130.6</v>
      </c>
      <c r="J289">
        <f>INDEX(Cantones!C:C,MATCH(Tabelle2[[#This Row],[Cantón]],Cantones!A:A,0))</f>
        <v>-3.2413487000000001</v>
      </c>
      <c r="K289">
        <f>INDEX(Cantones!D:D,MATCH(Tabelle2[[#This Row],[Cantón]],Cantones!A:A,0))</f>
        <v>-79.829671300000001</v>
      </c>
    </row>
    <row r="290" spans="1:11">
      <c r="A290" s="6" t="s">
        <v>43</v>
      </c>
      <c r="B290" s="6" t="s">
        <v>57</v>
      </c>
      <c r="C290" s="6" t="s">
        <v>45</v>
      </c>
      <c r="D290" s="6" t="s">
        <v>46</v>
      </c>
      <c r="E290" s="6" t="s">
        <v>13</v>
      </c>
      <c r="F290" s="6" t="s">
        <v>40</v>
      </c>
      <c r="G290" s="6" t="s">
        <v>47</v>
      </c>
      <c r="H290" s="9">
        <v>136.80000000000001</v>
      </c>
      <c r="I290" s="9">
        <v>119</v>
      </c>
      <c r="J290">
        <f>INDEX(Cantones!C:C,MATCH(Tabelle2[[#This Row],[Cantón]],Cantones!A:A,0))</f>
        <v>-3.2413487000000001</v>
      </c>
      <c r="K290">
        <f>INDEX(Cantones!D:D,MATCH(Tabelle2[[#This Row],[Cantón]],Cantones!A:A,0))</f>
        <v>-79.829671300000001</v>
      </c>
    </row>
    <row r="291" spans="1:11" ht="23">
      <c r="A291" s="4" t="s">
        <v>55</v>
      </c>
      <c r="B291" s="4" t="s">
        <v>56</v>
      </c>
      <c r="C291" s="4" t="s">
        <v>26</v>
      </c>
      <c r="D291" s="4" t="s">
        <v>39</v>
      </c>
      <c r="E291" s="4" t="s">
        <v>13</v>
      </c>
      <c r="F291" s="4" t="s">
        <v>40</v>
      </c>
      <c r="G291" s="4" t="s">
        <v>51</v>
      </c>
      <c r="H291" s="8">
        <v>150</v>
      </c>
      <c r="I291" s="8">
        <v>120</v>
      </c>
      <c r="J291">
        <f>INDEX(Cantones!C:C,MATCH(Tabelle2[[#This Row],[Cantón]],Cantones!A:A,0))</f>
        <v>-2.1899066</v>
      </c>
      <c r="K291">
        <f>INDEX(Cantones!D:D,MATCH(Tabelle2[[#This Row],[Cantón]],Cantones!A:A,0))</f>
        <v>-79.887726000000001</v>
      </c>
    </row>
    <row r="292" spans="1:11">
      <c r="A292" s="6" t="s">
        <v>63</v>
      </c>
      <c r="B292" s="6" t="s">
        <v>262</v>
      </c>
      <c r="C292" s="6" t="s">
        <v>78</v>
      </c>
      <c r="D292" s="6" t="s">
        <v>134</v>
      </c>
      <c r="E292" s="6" t="s">
        <v>66</v>
      </c>
      <c r="F292" s="6" t="s">
        <v>40</v>
      </c>
      <c r="G292" s="6" t="s">
        <v>51</v>
      </c>
      <c r="H292" s="9">
        <v>4.6100000000000003</v>
      </c>
      <c r="I292" s="9">
        <v>2.91</v>
      </c>
      <c r="J292">
        <f>INDEX(Cantones!C:C,MATCH(Tabelle2[[#This Row],[Cantón]],Cantones!A:A,0))</f>
        <v>8.5400000000000004E-2</v>
      </c>
      <c r="K292">
        <f>INDEX(Cantones!D:D,MATCH(Tabelle2[[#This Row],[Cantón]],Cantones!A:A,0))</f>
        <v>-76.891499999999994</v>
      </c>
    </row>
    <row r="293" spans="1:11" ht="23">
      <c r="A293" s="4" t="s">
        <v>449</v>
      </c>
      <c r="B293" s="4" t="s">
        <v>450</v>
      </c>
      <c r="C293" s="4" t="s">
        <v>30</v>
      </c>
      <c r="D293" s="4" t="s">
        <v>254</v>
      </c>
      <c r="E293" s="4" t="s">
        <v>13</v>
      </c>
      <c r="F293" s="4" t="s">
        <v>14</v>
      </c>
      <c r="G293" s="4" t="s">
        <v>15</v>
      </c>
      <c r="H293" s="8">
        <v>0.1</v>
      </c>
      <c r="I293" s="8">
        <v>0.06</v>
      </c>
      <c r="J293">
        <f>INDEX(Cantones!C:C,MATCH(Tabelle2[[#This Row],[Cantón]],Cantones!A:A,0))</f>
        <v>-1.2491000000000001</v>
      </c>
      <c r="K293">
        <f>INDEX(Cantones!D:D,MATCH(Tabelle2[[#This Row],[Cantón]],Cantones!A:A,0))</f>
        <v>-78.616799999999998</v>
      </c>
    </row>
    <row r="294" spans="1:11">
      <c r="A294" s="4" t="s">
        <v>63</v>
      </c>
      <c r="B294" s="4" t="s">
        <v>326</v>
      </c>
      <c r="C294" s="4" t="s">
        <v>78</v>
      </c>
      <c r="D294" s="4" t="s">
        <v>79</v>
      </c>
      <c r="E294" s="4" t="s">
        <v>66</v>
      </c>
      <c r="F294" s="4" t="s">
        <v>40</v>
      </c>
      <c r="G294" s="4" t="s">
        <v>51</v>
      </c>
      <c r="H294" s="8">
        <v>1.43</v>
      </c>
      <c r="I294" s="8">
        <v>1.1200000000000001</v>
      </c>
      <c r="J294">
        <f>INDEX(Cantones!C:C,MATCH(Tabelle2[[#This Row],[Cantón]],Cantones!A:A,0))</f>
        <v>-0.26551140000000001</v>
      </c>
      <c r="K294">
        <f>INDEX(Cantones!D:D,MATCH(Tabelle2[[#This Row],[Cantón]],Cantones!A:A,0))</f>
        <v>-75.892069199999995</v>
      </c>
    </row>
    <row r="295" spans="1:11">
      <c r="A295" s="15" t="s">
        <v>63</v>
      </c>
      <c r="B295" s="4" t="s">
        <v>174</v>
      </c>
      <c r="C295" s="4" t="s">
        <v>65</v>
      </c>
      <c r="D295" s="4" t="s">
        <v>65</v>
      </c>
      <c r="E295" s="4" t="s">
        <v>66</v>
      </c>
      <c r="F295" s="4" t="s">
        <v>40</v>
      </c>
      <c r="G295" s="4" t="s">
        <v>51</v>
      </c>
      <c r="H295" s="8">
        <v>13.88</v>
      </c>
      <c r="I295" s="8">
        <v>11.22</v>
      </c>
      <c r="J295">
        <f>INDEX(Cantones!C:C,MATCH(Tabelle2[[#This Row],[Cantón]],Cantones!A:A,0))</f>
        <v>-0.78617999999999999</v>
      </c>
      <c r="K295">
        <f>INDEX(Cantones!D:D,MATCH(Tabelle2[[#This Row],[Cantón]],Cantones!A:A,0))</f>
        <v>-76.480318400000002</v>
      </c>
    </row>
    <row r="296" spans="1:11">
      <c r="A296" s="11" t="s">
        <v>63</v>
      </c>
      <c r="B296" s="6" t="s">
        <v>173</v>
      </c>
      <c r="C296" s="6" t="s">
        <v>65</v>
      </c>
      <c r="D296" s="6" t="s">
        <v>65</v>
      </c>
      <c r="E296" s="6" t="s">
        <v>66</v>
      </c>
      <c r="F296" s="6" t="s">
        <v>40</v>
      </c>
      <c r="G296" s="6" t="s">
        <v>51</v>
      </c>
      <c r="H296" s="9">
        <v>14.62</v>
      </c>
      <c r="I296" s="9">
        <v>11.3</v>
      </c>
      <c r="J296">
        <f>INDEX(Cantones!C:C,MATCH(Tabelle2[[#This Row],[Cantón]],Cantones!A:A,0))</f>
        <v>-0.78617999999999999</v>
      </c>
      <c r="K296">
        <f>INDEX(Cantones!D:D,MATCH(Tabelle2[[#This Row],[Cantón]],Cantones!A:A,0))</f>
        <v>-76.480318400000002</v>
      </c>
    </row>
    <row r="297" spans="1:11">
      <c r="A297" s="11" t="s">
        <v>63</v>
      </c>
      <c r="B297" s="6" t="s">
        <v>142</v>
      </c>
      <c r="C297" s="6" t="s">
        <v>65</v>
      </c>
      <c r="D297" s="6" t="s">
        <v>65</v>
      </c>
      <c r="E297" s="6" t="s">
        <v>66</v>
      </c>
      <c r="F297" s="6" t="s">
        <v>40</v>
      </c>
      <c r="G297" s="6" t="s">
        <v>51</v>
      </c>
      <c r="H297" s="9">
        <v>26.33</v>
      </c>
      <c r="I297" s="9">
        <v>22.59</v>
      </c>
      <c r="J297">
        <f>INDEX(Cantones!C:C,MATCH(Tabelle2[[#This Row],[Cantón]],Cantones!A:A,0))</f>
        <v>-0.78617999999999999</v>
      </c>
      <c r="K297">
        <f>INDEX(Cantones!D:D,MATCH(Tabelle2[[#This Row],[Cantón]],Cantones!A:A,0))</f>
        <v>-76.480318400000002</v>
      </c>
    </row>
    <row r="298" spans="1:11">
      <c r="A298" s="11" t="s">
        <v>63</v>
      </c>
      <c r="B298" s="6" t="s">
        <v>159</v>
      </c>
      <c r="C298" s="6" t="s">
        <v>65</v>
      </c>
      <c r="D298" s="6" t="s">
        <v>65</v>
      </c>
      <c r="E298" s="6" t="s">
        <v>66</v>
      </c>
      <c r="F298" s="6" t="s">
        <v>40</v>
      </c>
      <c r="G298" s="6" t="s">
        <v>51</v>
      </c>
      <c r="H298" s="9">
        <v>17.489999999999998</v>
      </c>
      <c r="I298" s="9">
        <v>15.06</v>
      </c>
      <c r="J298">
        <f>INDEX(Cantones!C:C,MATCH(Tabelle2[[#This Row],[Cantón]],Cantones!A:A,0))</f>
        <v>-0.78617999999999999</v>
      </c>
      <c r="K298">
        <f>INDEX(Cantones!D:D,MATCH(Tabelle2[[#This Row],[Cantón]],Cantones!A:A,0))</f>
        <v>-76.480318400000002</v>
      </c>
    </row>
    <row r="299" spans="1:11">
      <c r="A299" s="6" t="s">
        <v>131</v>
      </c>
      <c r="B299" s="6" t="s">
        <v>132</v>
      </c>
      <c r="C299" s="6" t="s">
        <v>30</v>
      </c>
      <c r="D299" s="6" t="s">
        <v>31</v>
      </c>
      <c r="E299" s="6" t="s">
        <v>13</v>
      </c>
      <c r="F299" s="6" t="s">
        <v>14</v>
      </c>
      <c r="G299" s="6" t="s">
        <v>15</v>
      </c>
      <c r="H299" s="9">
        <v>29.2</v>
      </c>
      <c r="I299" s="9">
        <v>27</v>
      </c>
      <c r="J299">
        <f>INDEX(Cantones!C:C,MATCH(Tabelle2[[#This Row],[Cantón]],Cantones!A:A,0))</f>
        <v>-1.3319156999999999</v>
      </c>
      <c r="K299">
        <f>INDEX(Cantones!D:D,MATCH(Tabelle2[[#This Row],[Cantón]],Cantones!A:A,0))</f>
        <v>-78.262528500000002</v>
      </c>
    </row>
    <row r="300" spans="1:11">
      <c r="A300" s="4" t="s">
        <v>76</v>
      </c>
      <c r="B300" s="4" t="s">
        <v>77</v>
      </c>
      <c r="C300" s="4" t="s">
        <v>78</v>
      </c>
      <c r="D300" s="4" t="s">
        <v>79</v>
      </c>
      <c r="E300" s="4" t="s">
        <v>66</v>
      </c>
      <c r="F300" s="4" t="s">
        <v>40</v>
      </c>
      <c r="G300" s="4" t="s">
        <v>51</v>
      </c>
      <c r="H300" s="8">
        <v>75.83</v>
      </c>
      <c r="I300" s="8">
        <v>65.400000000000006</v>
      </c>
      <c r="J300">
        <f>INDEX(Cantones!C:C,MATCH(Tabelle2[[#This Row],[Cantón]],Cantones!A:A,0))</f>
        <v>-0.26551140000000001</v>
      </c>
      <c r="K300">
        <f>INDEX(Cantones!D:D,MATCH(Tabelle2[[#This Row],[Cantón]],Cantones!A:A,0))</f>
        <v>-75.892069199999995</v>
      </c>
    </row>
    <row r="301" spans="1:11">
      <c r="A301" s="6" t="s">
        <v>286</v>
      </c>
      <c r="B301" s="6" t="s">
        <v>336</v>
      </c>
      <c r="C301" s="6" t="s">
        <v>83</v>
      </c>
      <c r="D301" s="6" t="s">
        <v>288</v>
      </c>
      <c r="E301" s="6" t="s">
        <v>13</v>
      </c>
      <c r="F301" s="6" t="s">
        <v>289</v>
      </c>
      <c r="G301" s="6" t="s">
        <v>289</v>
      </c>
      <c r="H301" s="9">
        <v>1</v>
      </c>
      <c r="I301" s="9">
        <v>1</v>
      </c>
      <c r="J301">
        <f>INDEX(Cantones!C:C,MATCH(Tabelle2[[#This Row],[Cantón]],Cantones!A:A,0))</f>
        <v>0.34784209999999999</v>
      </c>
      <c r="K301">
        <f>INDEX(Cantones!D:D,MATCH(Tabelle2[[#This Row],[Cantón]],Cantones!A:A,0))</f>
        <v>-78.117358800000005</v>
      </c>
    </row>
    <row r="302" spans="1:11">
      <c r="A302" s="4" t="s">
        <v>37</v>
      </c>
      <c r="B302" s="4" t="s">
        <v>42</v>
      </c>
      <c r="C302" s="4" t="s">
        <v>26</v>
      </c>
      <c r="D302" s="4" t="s">
        <v>39</v>
      </c>
      <c r="E302" s="4" t="s">
        <v>13</v>
      </c>
      <c r="F302" s="4" t="s">
        <v>40</v>
      </c>
      <c r="G302" s="4" t="s">
        <v>41</v>
      </c>
      <c r="H302" s="8">
        <v>133</v>
      </c>
      <c r="I302" s="8">
        <v>133</v>
      </c>
      <c r="J302">
        <f>INDEX(Cantones!C:C,MATCH(Tabelle2[[#This Row],[Cantón]],Cantones!A:A,0))</f>
        <v>-2.1899066</v>
      </c>
      <c r="K302">
        <f>INDEX(Cantones!D:D,MATCH(Tabelle2[[#This Row],[Cantón]],Cantones!A:A,0))</f>
        <v>-79.887726000000001</v>
      </c>
    </row>
    <row r="303" spans="1:11">
      <c r="A303" s="6" t="s">
        <v>63</v>
      </c>
      <c r="B303" s="6" t="s">
        <v>331</v>
      </c>
      <c r="C303" s="6" t="s">
        <v>65</v>
      </c>
      <c r="D303" s="6" t="s">
        <v>65</v>
      </c>
      <c r="E303" s="6" t="s">
        <v>66</v>
      </c>
      <c r="F303" s="6" t="s">
        <v>40</v>
      </c>
      <c r="G303" s="6" t="s">
        <v>51</v>
      </c>
      <c r="H303" s="9">
        <v>1.55</v>
      </c>
      <c r="I303" s="9">
        <v>1.07</v>
      </c>
      <c r="J303">
        <f>INDEX(Cantones!C:C,MATCH(Tabelle2[[#This Row],[Cantón]],Cantones!A:A,0))</f>
        <v>-0.78617999999999999</v>
      </c>
      <c r="K303">
        <f>INDEX(Cantones!D:D,MATCH(Tabelle2[[#This Row],[Cantón]],Cantones!A:A,0))</f>
        <v>-76.480318400000002</v>
      </c>
    </row>
    <row r="304" spans="1:11">
      <c r="A304" s="23" t="s">
        <v>165</v>
      </c>
      <c r="B304" s="4" t="s">
        <v>362</v>
      </c>
      <c r="C304" s="4" t="s">
        <v>87</v>
      </c>
      <c r="D304" s="4" t="s">
        <v>97</v>
      </c>
      <c r="E304" s="4" t="s">
        <v>13</v>
      </c>
      <c r="F304" s="4" t="s">
        <v>14</v>
      </c>
      <c r="G304" s="4" t="s">
        <v>15</v>
      </c>
      <c r="H304" s="8">
        <v>0.99</v>
      </c>
      <c r="I304" s="8">
        <v>0.98</v>
      </c>
      <c r="J304">
        <f>INDEX(Cantones!C:C,MATCH(Tabelle2[[#This Row],[Cantón]],Cantones!A:A,0))</f>
        <v>-0.21549199999999999</v>
      </c>
      <c r="K304">
        <f>INDEX(Cantones!D:D,MATCH(Tabelle2[[#This Row],[Cantón]],Cantones!A:A,0))</f>
        <v>-78.501364800000005</v>
      </c>
    </row>
    <row r="305" spans="1:11">
      <c r="A305" s="4" t="s">
        <v>63</v>
      </c>
      <c r="B305" s="4" t="s">
        <v>194</v>
      </c>
      <c r="C305" s="4" t="s">
        <v>78</v>
      </c>
      <c r="D305" s="4" t="s">
        <v>79</v>
      </c>
      <c r="E305" s="4" t="s">
        <v>66</v>
      </c>
      <c r="F305" s="4" t="s">
        <v>40</v>
      </c>
      <c r="G305" s="4" t="s">
        <v>51</v>
      </c>
      <c r="H305" s="8">
        <v>12.32</v>
      </c>
      <c r="I305" s="8">
        <v>8.6999999999999993</v>
      </c>
      <c r="J305">
        <f>INDEX(Cantones!C:C,MATCH(Tabelle2[[#This Row],[Cantón]],Cantones!A:A,0))</f>
        <v>-0.26551140000000001</v>
      </c>
      <c r="K305">
        <f>INDEX(Cantones!D:D,MATCH(Tabelle2[[#This Row],[Cantón]],Cantones!A:A,0))</f>
        <v>-75.892069199999995</v>
      </c>
    </row>
    <row r="306" spans="1:11">
      <c r="A306" s="6" t="s">
        <v>186</v>
      </c>
      <c r="B306" s="6" t="s">
        <v>187</v>
      </c>
      <c r="C306" s="6" t="s">
        <v>11</v>
      </c>
      <c r="D306" s="6" t="s">
        <v>188</v>
      </c>
      <c r="E306" s="6" t="s">
        <v>13</v>
      </c>
      <c r="F306" s="6" t="s">
        <v>14</v>
      </c>
      <c r="G306" s="6" t="s">
        <v>15</v>
      </c>
      <c r="H306" s="9">
        <v>10.32</v>
      </c>
      <c r="I306" s="9">
        <v>10</v>
      </c>
      <c r="J306">
        <f>INDEX(Cantones!C:C,MATCH(Tabelle2[[#This Row],[Cantón]],Cantones!A:A,0))</f>
        <v>-0.22229670000000001</v>
      </c>
      <c r="K306">
        <f>INDEX(Cantones!D:D,MATCH(Tabelle2[[#This Row],[Cantón]],Cantones!A:A,0))</f>
        <v>-78.523431299999999</v>
      </c>
    </row>
    <row r="307" spans="1:11">
      <c r="A307" s="4" t="s">
        <v>58</v>
      </c>
      <c r="B307" s="4" t="s">
        <v>59</v>
      </c>
      <c r="C307" s="4" t="s">
        <v>26</v>
      </c>
      <c r="D307" s="4" t="s">
        <v>39</v>
      </c>
      <c r="E307" s="4" t="s">
        <v>13</v>
      </c>
      <c r="F307" s="4" t="s">
        <v>40</v>
      </c>
      <c r="G307" s="4" t="s">
        <v>47</v>
      </c>
      <c r="H307" s="8">
        <v>115</v>
      </c>
      <c r="I307" s="8">
        <v>102</v>
      </c>
      <c r="J307">
        <f>INDEX(Cantones!C:C,MATCH(Tabelle2[[#This Row],[Cantón]],Cantones!A:A,0))</f>
        <v>-2.1899066</v>
      </c>
      <c r="K307">
        <f>INDEX(Cantones!D:D,MATCH(Tabelle2[[#This Row],[Cantón]],Cantones!A:A,0))</f>
        <v>-79.887726000000001</v>
      </c>
    </row>
    <row r="308" spans="1:11">
      <c r="A308" s="4" t="s">
        <v>114</v>
      </c>
      <c r="B308" s="4" t="s">
        <v>241</v>
      </c>
      <c r="C308" s="4" t="s">
        <v>116</v>
      </c>
      <c r="D308" s="4" t="s">
        <v>178</v>
      </c>
      <c r="E308" s="4" t="s">
        <v>66</v>
      </c>
      <c r="F308" s="4" t="s">
        <v>40</v>
      </c>
      <c r="G308" s="4" t="s">
        <v>51</v>
      </c>
      <c r="H308" s="8">
        <v>5.72</v>
      </c>
      <c r="I308" s="8">
        <v>4.2</v>
      </c>
      <c r="J308">
        <f>INDEX(Cantones!C:C,MATCH(Tabelle2[[#This Row],[Cantón]],Cantones!A:A,0))</f>
        <v>-1.3537363</v>
      </c>
      <c r="K308">
        <f>INDEX(Cantones!D:D,MATCH(Tabelle2[[#This Row],[Cantón]],Cantones!A:A,0))</f>
        <v>-76.844110099999995</v>
      </c>
    </row>
    <row r="309" spans="1:11">
      <c r="A309" s="11" t="s">
        <v>32</v>
      </c>
      <c r="B309" s="6" t="s">
        <v>156</v>
      </c>
      <c r="C309" s="6" t="s">
        <v>155</v>
      </c>
      <c r="D309" s="6" t="s">
        <v>155</v>
      </c>
      <c r="E309" s="6" t="s">
        <v>13</v>
      </c>
      <c r="F309" s="6" t="s">
        <v>157</v>
      </c>
      <c r="G309" s="6" t="s">
        <v>157</v>
      </c>
      <c r="H309" s="9">
        <v>16.5</v>
      </c>
      <c r="I309" s="9">
        <v>16.5</v>
      </c>
      <c r="J309">
        <f>INDEX(Cantones!C:C,MATCH(Tabelle2[[#This Row],[Cantón]],Cantones!A:A,0))</f>
        <v>-4.0528506000000002</v>
      </c>
      <c r="K309">
        <f>INDEX(Cantones!D:D,MATCH(Tabelle2[[#This Row],[Cantón]],Cantones!A:A,0))</f>
        <v>-79.805342499999995</v>
      </c>
    </row>
    <row r="310" spans="1:11">
      <c r="A310" s="4" t="s">
        <v>222</v>
      </c>
      <c r="B310" s="4" t="s">
        <v>223</v>
      </c>
      <c r="C310" s="4" t="s">
        <v>87</v>
      </c>
      <c r="D310" s="4" t="s">
        <v>97</v>
      </c>
      <c r="E310" s="4" t="s">
        <v>13</v>
      </c>
      <c r="F310" s="4" t="s">
        <v>14</v>
      </c>
      <c r="G310" s="4" t="s">
        <v>15</v>
      </c>
      <c r="H310" s="8">
        <v>6.09</v>
      </c>
      <c r="I310" s="8">
        <v>5.86</v>
      </c>
      <c r="J310">
        <f>INDEX(Cantones!C:C,MATCH(Tabelle2[[#This Row],[Cantón]],Cantones!A:A,0))</f>
        <v>-0.21549199999999999</v>
      </c>
      <c r="K310">
        <f>INDEX(Cantones!D:D,MATCH(Tabelle2[[#This Row],[Cantón]],Cantones!A:A,0))</f>
        <v>-78.501364800000005</v>
      </c>
    </row>
    <row r="311" spans="1:11">
      <c r="A311" s="36" t="s">
        <v>63</v>
      </c>
      <c r="B311" s="36" t="s">
        <v>265</v>
      </c>
      <c r="C311" s="4" t="s">
        <v>78</v>
      </c>
      <c r="D311" s="36" t="s">
        <v>79</v>
      </c>
      <c r="E311" s="4" t="s">
        <v>66</v>
      </c>
      <c r="F311" s="4" t="s">
        <v>40</v>
      </c>
      <c r="G311" s="36" t="s">
        <v>51</v>
      </c>
      <c r="H311" s="37">
        <v>3.51</v>
      </c>
      <c r="I311" s="8">
        <v>2.64</v>
      </c>
      <c r="J311">
        <f>INDEX(Cantones!C:C,MATCH(Tabelle2[[#This Row],[Cantón]],Cantones!A:A,0))</f>
        <v>-0.26551140000000001</v>
      </c>
      <c r="K311">
        <f>INDEX(Cantones!D:D,MATCH(Tabelle2[[#This Row],[Cantón]],Cantones!A:A,0))</f>
        <v>-75.892069199999995</v>
      </c>
    </row>
    <row r="312" spans="1:11">
      <c r="A312" s="36" t="s">
        <v>76</v>
      </c>
      <c r="B312" s="36" t="s">
        <v>245</v>
      </c>
      <c r="C312" s="4" t="s">
        <v>65</v>
      </c>
      <c r="D312" s="36" t="s">
        <v>65</v>
      </c>
      <c r="E312" s="4" t="s">
        <v>66</v>
      </c>
      <c r="F312" s="4" t="s">
        <v>40</v>
      </c>
      <c r="G312" s="36" t="s">
        <v>51</v>
      </c>
      <c r="H312" s="37">
        <v>4.8499999999999996</v>
      </c>
      <c r="I312" s="8">
        <v>4.08</v>
      </c>
      <c r="J312">
        <f>INDEX(Cantones!C:C,MATCH(Tabelle2[[#This Row],[Cantón]],Cantones!A:A,0))</f>
        <v>-0.78617999999999999</v>
      </c>
      <c r="K312">
        <f>INDEX(Cantones!D:D,MATCH(Tabelle2[[#This Row],[Cantón]],Cantones!A:A,0))</f>
        <v>-76.480318400000002</v>
      </c>
    </row>
    <row r="313" spans="1:11">
      <c r="A313" s="24" t="s">
        <v>359</v>
      </c>
      <c r="B313" s="24" t="s">
        <v>359</v>
      </c>
      <c r="C313" s="6" t="s">
        <v>26</v>
      </c>
      <c r="D313" s="24" t="s">
        <v>358</v>
      </c>
      <c r="E313" s="6" t="s">
        <v>13</v>
      </c>
      <c r="F313" s="6" t="s">
        <v>289</v>
      </c>
      <c r="G313" s="24" t="s">
        <v>289</v>
      </c>
      <c r="H313" s="25">
        <v>1</v>
      </c>
      <c r="I313" s="9">
        <v>1</v>
      </c>
      <c r="J313">
        <f>INDEX(Cantones!C:C,MATCH(Tabelle2[[#This Row],[Cantón]],Cantones!A:A,0))</f>
        <v>-1.8167</v>
      </c>
      <c r="K313">
        <f>INDEX(Cantones!D:D,MATCH(Tabelle2[[#This Row],[Cantón]],Cantones!A:A,0))</f>
        <v>-79.5167</v>
      </c>
    </row>
    <row r="314" spans="1:11">
      <c r="A314" s="24" t="s">
        <v>63</v>
      </c>
      <c r="B314" s="24" t="s">
        <v>323</v>
      </c>
      <c r="C314" s="6" t="s">
        <v>78</v>
      </c>
      <c r="D314" s="24" t="s">
        <v>102</v>
      </c>
      <c r="E314" s="6" t="s">
        <v>66</v>
      </c>
      <c r="F314" s="6" t="s">
        <v>40</v>
      </c>
      <c r="G314" s="24" t="s">
        <v>51</v>
      </c>
      <c r="H314" s="25">
        <v>2.19</v>
      </c>
      <c r="I314" s="9">
        <v>1.2</v>
      </c>
      <c r="J314">
        <f>INDEX(Cantones!C:C,MATCH(Tabelle2[[#This Row],[Cantón]],Cantones!A:A,0))</f>
        <v>-0.28860940000000002</v>
      </c>
      <c r="K314">
        <f>INDEX(Cantones!D:D,MATCH(Tabelle2[[#This Row],[Cantón]],Cantones!A:A,0))</f>
        <v>-76.590663199999995</v>
      </c>
    </row>
    <row r="315" spans="1:11">
      <c r="A315" s="24" t="s">
        <v>63</v>
      </c>
      <c r="B315" s="24" t="s">
        <v>325</v>
      </c>
      <c r="C315" s="6" t="s">
        <v>65</v>
      </c>
      <c r="D315" s="24" t="s">
        <v>122</v>
      </c>
      <c r="E315" s="6" t="s">
        <v>66</v>
      </c>
      <c r="F315" s="6" t="s">
        <v>40</v>
      </c>
      <c r="G315" s="24" t="s">
        <v>51</v>
      </c>
      <c r="H315" s="25">
        <v>1.64</v>
      </c>
      <c r="I315" s="9">
        <v>1.1499999999999999</v>
      </c>
      <c r="J315">
        <f>INDEX(Cantones!C:C,MATCH(Tabelle2[[#This Row],[Cantón]],Cantones!A:A,0))</f>
        <v>-0.2611097</v>
      </c>
      <c r="K315">
        <f>INDEX(Cantones!D:D,MATCH(Tabelle2[[#This Row],[Cantón]],Cantones!A:A,0))</f>
        <v>-76.9080096</v>
      </c>
    </row>
    <row r="316" spans="1:11">
      <c r="A316" s="39" t="s">
        <v>63</v>
      </c>
      <c r="B316" s="24" t="s">
        <v>228</v>
      </c>
      <c r="C316" s="6" t="s">
        <v>65</v>
      </c>
      <c r="D316" s="24" t="s">
        <v>65</v>
      </c>
      <c r="E316" s="6" t="s">
        <v>66</v>
      </c>
      <c r="F316" s="6" t="s">
        <v>40</v>
      </c>
      <c r="G316" s="24" t="s">
        <v>51</v>
      </c>
      <c r="H316" s="25">
        <v>6.95</v>
      </c>
      <c r="I316" s="9">
        <v>5.48</v>
      </c>
      <c r="J316">
        <f>INDEX(Cantones!C:C,MATCH(Tabelle2[[#This Row],[Cantón]],Cantones!A:A,0))</f>
        <v>-0.78617999999999999</v>
      </c>
      <c r="K316">
        <f>INDEX(Cantones!D:D,MATCH(Tabelle2[[#This Row],[Cantón]],Cantones!A:A,0))</f>
        <v>-76.480318400000002</v>
      </c>
    </row>
    <row r="317" spans="1:11">
      <c r="A317" s="24" t="s">
        <v>63</v>
      </c>
      <c r="B317" s="24" t="s">
        <v>193</v>
      </c>
      <c r="C317" s="6" t="s">
        <v>11</v>
      </c>
      <c r="D317" s="24" t="s">
        <v>111</v>
      </c>
      <c r="E317" s="6" t="s">
        <v>66</v>
      </c>
      <c r="F317" s="6" t="s">
        <v>40</v>
      </c>
      <c r="G317" s="24" t="s">
        <v>51</v>
      </c>
      <c r="H317" s="25">
        <v>18.600000000000001</v>
      </c>
      <c r="I317" s="9">
        <v>9.2100000000000009</v>
      </c>
      <c r="J317">
        <f>INDEX(Cantones!C:C,MATCH(Tabelle2[[#This Row],[Cantón]],Cantones!A:A,0))</f>
        <v>-0.94387180000000004</v>
      </c>
      <c r="K317">
        <f>INDEX(Cantones!D:D,MATCH(Tabelle2[[#This Row],[Cantón]],Cantones!A:A,0))</f>
        <v>-78.108398199999996</v>
      </c>
    </row>
    <row r="318" spans="1:11">
      <c r="A318" s="36" t="s">
        <v>63</v>
      </c>
      <c r="B318" s="36" t="s">
        <v>330</v>
      </c>
      <c r="C318" s="4" t="s">
        <v>65</v>
      </c>
      <c r="D318" s="36" t="s">
        <v>65</v>
      </c>
      <c r="E318" s="4" t="s">
        <v>66</v>
      </c>
      <c r="F318" s="4" t="s">
        <v>40</v>
      </c>
      <c r="G318" s="36" t="s">
        <v>51</v>
      </c>
      <c r="H318" s="37">
        <v>1.36</v>
      </c>
      <c r="I318" s="8">
        <v>1.07</v>
      </c>
      <c r="J318">
        <f>INDEX(Cantones!C:C,MATCH(Tabelle2[[#This Row],[Cantón]],Cantones!A:A,0))</f>
        <v>-0.78617999999999999</v>
      </c>
      <c r="K318">
        <f>INDEX(Cantones!D:D,MATCH(Tabelle2[[#This Row],[Cantón]],Cantones!A:A,0))</f>
        <v>-76.480318400000002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91C1D-D07E-4670-9A95-639FC77FB6A3}">
  <dimension ref="A2:C2"/>
  <sheetViews>
    <sheetView workbookViewId="0">
      <selection activeCell="B5" sqref="B5"/>
    </sheetView>
  </sheetViews>
  <sheetFormatPr baseColWidth="10" defaultRowHeight="13"/>
  <sheetData>
    <row r="2" spans="1:3">
      <c r="A2" t="str">
        <f>+Tabelle2[[#This Row],[Cantón]]</f>
        <v>Morona</v>
      </c>
      <c r="B2" t="str">
        <f>+Cantones!A61</f>
        <v>Aguarico</v>
      </c>
      <c r="C2">
        <f>IF(A2=B2, "True", 0)</f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0424-B993-4787-8F0A-D605120AA0B4}">
  <dimension ref="A1:D84"/>
  <sheetViews>
    <sheetView topLeftCell="A58" workbookViewId="0">
      <selection activeCell="A83" sqref="A83"/>
    </sheetView>
  </sheetViews>
  <sheetFormatPr baseColWidth="10" defaultRowHeight="13"/>
  <cols>
    <col min="1" max="1" width="22.09765625" style="28" customWidth="1"/>
    <col min="2" max="4" width="11.19921875" style="28"/>
  </cols>
  <sheetData>
    <row r="1" spans="1:4">
      <c r="A1" s="28" t="s">
        <v>459</v>
      </c>
      <c r="B1" s="28" t="s">
        <v>460</v>
      </c>
      <c r="C1" s="28" t="s">
        <v>461</v>
      </c>
      <c r="D1" s="28" t="s">
        <v>462</v>
      </c>
    </row>
    <row r="2" spans="1:4">
      <c r="A2" s="28" t="s">
        <v>463</v>
      </c>
      <c r="B2" s="28" t="s">
        <v>464</v>
      </c>
      <c r="C2" s="28">
        <v>-0.33866420000000003</v>
      </c>
      <c r="D2" s="28">
        <v>-77.809850999999995</v>
      </c>
    </row>
    <row r="3" spans="1:4">
      <c r="A3" s="28" t="s">
        <v>465</v>
      </c>
      <c r="B3" s="28" t="s">
        <v>466</v>
      </c>
      <c r="C3" s="28">
        <v>-2.7051607999999998</v>
      </c>
      <c r="D3" s="28">
        <v>-78.601438700000003</v>
      </c>
    </row>
    <row r="4" spans="1:4">
      <c r="A4" s="28" t="s">
        <v>521</v>
      </c>
      <c r="B4" s="28" t="s">
        <v>466</v>
      </c>
      <c r="C4" s="28">
        <v>-3.1748913000000001</v>
      </c>
      <c r="D4" s="28">
        <v>-79.514712700000004</v>
      </c>
    </row>
    <row r="5" spans="1:4">
      <c r="A5" s="28" t="s">
        <v>467</v>
      </c>
      <c r="B5" s="28" t="s">
        <v>468</v>
      </c>
      <c r="C5" s="28">
        <v>-0.99101070000000002</v>
      </c>
      <c r="D5" s="28">
        <v>-79.664236500000001</v>
      </c>
    </row>
    <row r="6" spans="1:4">
      <c r="A6" s="28" t="s">
        <v>522</v>
      </c>
      <c r="B6" s="28" t="s">
        <v>469</v>
      </c>
      <c r="C6" s="28">
        <v>-1.3319156999999999</v>
      </c>
      <c r="D6" s="28">
        <v>-78.262528500000002</v>
      </c>
    </row>
    <row r="7" spans="1:4">
      <c r="A7" s="28" t="s">
        <v>470</v>
      </c>
      <c r="B7" s="28" t="s">
        <v>471</v>
      </c>
      <c r="C7" s="28">
        <v>-4.0042007999999996</v>
      </c>
      <c r="D7" s="28">
        <v>-78.957775400000003</v>
      </c>
    </row>
    <row r="8" spans="1:4">
      <c r="A8" s="28" t="s">
        <v>472</v>
      </c>
      <c r="B8" s="28" t="s">
        <v>468</v>
      </c>
      <c r="C8" s="28">
        <v>-2.1899066</v>
      </c>
      <c r="D8" s="28">
        <v>-79.887726000000001</v>
      </c>
    </row>
    <row r="9" spans="1:4">
      <c r="A9" s="28" t="s">
        <v>473</v>
      </c>
      <c r="B9" s="28" t="s">
        <v>474</v>
      </c>
      <c r="C9" s="28">
        <v>-3.2413487000000001</v>
      </c>
      <c r="D9" s="28">
        <v>-79.829671300000001</v>
      </c>
    </row>
    <row r="10" spans="1:4">
      <c r="A10" s="28" t="s">
        <v>523</v>
      </c>
      <c r="B10" s="28" t="s">
        <v>524</v>
      </c>
      <c r="C10" s="28">
        <v>-0.97390969999999999</v>
      </c>
      <c r="D10" s="28">
        <v>-80.602084700000006</v>
      </c>
    </row>
    <row r="11" spans="1:4">
      <c r="A11" s="28" t="s">
        <v>475</v>
      </c>
      <c r="B11" s="28" t="s">
        <v>475</v>
      </c>
      <c r="C11" s="28">
        <v>0.73436190000000001</v>
      </c>
      <c r="D11" s="28">
        <v>-79.3858867</v>
      </c>
    </row>
    <row r="12" spans="1:4">
      <c r="A12" s="28" t="s">
        <v>476</v>
      </c>
      <c r="B12" s="28" t="s">
        <v>476</v>
      </c>
      <c r="C12" s="28">
        <v>-0.78617999999999999</v>
      </c>
      <c r="D12" s="28">
        <v>-76.480318400000002</v>
      </c>
    </row>
    <row r="13" spans="1:4">
      <c r="A13" s="28" t="s">
        <v>477</v>
      </c>
      <c r="B13" s="28" t="s">
        <v>525</v>
      </c>
      <c r="C13" s="28">
        <v>-1.0243507999999999</v>
      </c>
      <c r="D13" s="28">
        <v>-79.466332300000005</v>
      </c>
    </row>
    <row r="14" spans="1:4">
      <c r="A14" s="28" t="s">
        <v>526</v>
      </c>
      <c r="B14" s="28" t="s">
        <v>468</v>
      </c>
      <c r="C14" s="28">
        <v>-2.2333628999999999</v>
      </c>
      <c r="D14" s="28">
        <v>-79.386164899999997</v>
      </c>
    </row>
    <row r="15" spans="1:4">
      <c r="A15" s="28" t="s">
        <v>527</v>
      </c>
      <c r="B15" s="28" t="s">
        <v>469</v>
      </c>
      <c r="C15" s="28">
        <v>-1.1725302</v>
      </c>
      <c r="D15" s="28">
        <v>-78.542317699999998</v>
      </c>
    </row>
    <row r="16" spans="1:4">
      <c r="A16" s="28" t="s">
        <v>478</v>
      </c>
      <c r="B16" s="28" t="s">
        <v>528</v>
      </c>
      <c r="C16" s="28">
        <v>-0.26551140000000001</v>
      </c>
      <c r="D16" s="28">
        <v>-75.892069199999995</v>
      </c>
    </row>
    <row r="17" spans="1:4">
      <c r="A17" s="28" t="s">
        <v>479</v>
      </c>
      <c r="B17" s="28" t="s">
        <v>479</v>
      </c>
      <c r="C17" s="28">
        <v>-2.1954593</v>
      </c>
      <c r="D17" s="28">
        <v>-80.566916699999993</v>
      </c>
    </row>
    <row r="18" spans="1:4">
      <c r="A18" s="28" t="s">
        <v>480</v>
      </c>
      <c r="B18" s="28" t="s">
        <v>481</v>
      </c>
      <c r="C18" s="28">
        <v>0.39552340000000002</v>
      </c>
      <c r="D18" s="28">
        <v>-78.450701300000006</v>
      </c>
    </row>
    <row r="19" spans="1:4">
      <c r="A19" s="28" t="s">
        <v>529</v>
      </c>
      <c r="B19" s="28" t="s">
        <v>482</v>
      </c>
      <c r="C19" s="28">
        <v>-0.49847740000000001</v>
      </c>
      <c r="D19" s="28">
        <v>-78.651691499999998</v>
      </c>
    </row>
    <row r="20" spans="1:4">
      <c r="A20" s="28" t="s">
        <v>483</v>
      </c>
      <c r="B20" s="28" t="s">
        <v>484</v>
      </c>
      <c r="C20" s="28">
        <v>-3.7939048999999998</v>
      </c>
      <c r="D20" s="28">
        <v>-79.281772099999998</v>
      </c>
    </row>
    <row r="21" spans="1:4">
      <c r="A21" s="28" t="s">
        <v>485</v>
      </c>
      <c r="B21" s="28" t="s">
        <v>484</v>
      </c>
      <c r="C21" s="28">
        <v>-2.4303097</v>
      </c>
      <c r="D21" s="28">
        <v>-77.880191999999994</v>
      </c>
    </row>
    <row r="22" spans="1:4">
      <c r="A22" s="28" t="s">
        <v>486</v>
      </c>
      <c r="B22" s="28" t="s">
        <v>482</v>
      </c>
      <c r="C22" s="28">
        <v>-0.21549199999999999</v>
      </c>
      <c r="D22" s="28">
        <v>-78.501364800000005</v>
      </c>
    </row>
    <row r="23" spans="1:4">
      <c r="A23" s="28" t="s">
        <v>487</v>
      </c>
      <c r="B23" s="28" t="s">
        <v>476</v>
      </c>
      <c r="C23" s="28">
        <v>-0.98462320000000003</v>
      </c>
      <c r="D23" s="28">
        <v>-75.989153299999998</v>
      </c>
    </row>
    <row r="24" spans="1:4">
      <c r="A24" s="28" t="s">
        <v>488</v>
      </c>
      <c r="B24" s="28" t="s">
        <v>528</v>
      </c>
      <c r="C24" s="28">
        <v>-0.28860940000000002</v>
      </c>
      <c r="D24" s="28">
        <v>-76.590663199999995</v>
      </c>
    </row>
    <row r="25" spans="1:4">
      <c r="A25" s="28" t="s">
        <v>489</v>
      </c>
      <c r="B25" s="28" t="s">
        <v>525</v>
      </c>
      <c r="C25" s="28">
        <v>-0.74829259999999997</v>
      </c>
      <c r="D25" s="28">
        <v>-79.529712200000006</v>
      </c>
    </row>
    <row r="26" spans="1:4">
      <c r="A26" s="28" t="s">
        <v>490</v>
      </c>
      <c r="B26" s="28" t="s">
        <v>524</v>
      </c>
      <c r="C26" s="28">
        <v>-1.0321775</v>
      </c>
      <c r="D26" s="28">
        <v>-80.822216699999998</v>
      </c>
    </row>
    <row r="27" spans="1:4">
      <c r="A27" s="28" t="s">
        <v>491</v>
      </c>
      <c r="B27" s="28" t="s">
        <v>464</v>
      </c>
      <c r="C27" s="28">
        <v>-0.94387180000000004</v>
      </c>
      <c r="D27" s="28">
        <v>-78.108398199999996</v>
      </c>
    </row>
    <row r="28" spans="1:4">
      <c r="A28" s="28" t="s">
        <v>492</v>
      </c>
      <c r="B28" s="28" t="s">
        <v>492</v>
      </c>
      <c r="C28" s="28">
        <v>-1.9166669999999999</v>
      </c>
      <c r="D28" s="28">
        <v>-77</v>
      </c>
    </row>
    <row r="29" spans="1:4">
      <c r="A29" s="28" t="s">
        <v>493</v>
      </c>
      <c r="B29" s="28" t="s">
        <v>468</v>
      </c>
      <c r="C29" s="28">
        <v>-2.1171796000000001</v>
      </c>
      <c r="D29" s="28">
        <v>-79.556660600000001</v>
      </c>
    </row>
    <row r="30" spans="1:4">
      <c r="A30" s="28" t="s">
        <v>494</v>
      </c>
      <c r="B30" s="28" t="s">
        <v>476</v>
      </c>
      <c r="C30" s="28">
        <v>-0.2611097</v>
      </c>
      <c r="D30" s="28">
        <v>-76.9080096</v>
      </c>
    </row>
    <row r="31" spans="1:4">
      <c r="A31" s="28" t="s">
        <v>495</v>
      </c>
      <c r="B31" s="28" t="s">
        <v>496</v>
      </c>
      <c r="C31" s="28">
        <v>-0.6130215</v>
      </c>
      <c r="D31" s="28">
        <v>-78.881861599999993</v>
      </c>
    </row>
    <row r="32" spans="1:4">
      <c r="A32" s="28" t="s">
        <v>497</v>
      </c>
      <c r="B32" s="28" t="s">
        <v>530</v>
      </c>
      <c r="C32" s="28">
        <v>-2.6317292000000001</v>
      </c>
      <c r="D32" s="28">
        <v>-78.700893399999998</v>
      </c>
    </row>
    <row r="33" spans="1:4">
      <c r="A33" s="28" t="s">
        <v>498</v>
      </c>
      <c r="B33" s="28" t="s">
        <v>498</v>
      </c>
      <c r="C33" s="28">
        <v>-4.0528506000000002</v>
      </c>
      <c r="D33" s="28">
        <v>-79.805342499999995</v>
      </c>
    </row>
    <row r="34" spans="1:4">
      <c r="A34" s="28" t="s">
        <v>531</v>
      </c>
      <c r="B34" s="28" t="s">
        <v>496</v>
      </c>
      <c r="C34" s="28">
        <v>-0.78419090000000002</v>
      </c>
      <c r="D34" s="28">
        <v>-79.101057299999994</v>
      </c>
    </row>
    <row r="35" spans="1:4">
      <c r="A35" s="28" t="s">
        <v>499</v>
      </c>
      <c r="B35" s="28" t="s">
        <v>525</v>
      </c>
      <c r="C35" s="28">
        <v>-1.3335519</v>
      </c>
      <c r="D35" s="28">
        <v>-79.336900900000003</v>
      </c>
    </row>
    <row r="36" spans="1:4">
      <c r="A36" s="28" t="s">
        <v>500</v>
      </c>
      <c r="B36" s="28" t="s">
        <v>492</v>
      </c>
      <c r="C36" s="28">
        <v>-1.3537363</v>
      </c>
      <c r="D36" s="28">
        <v>-76.844110099999995</v>
      </c>
    </row>
    <row r="37" spans="1:4">
      <c r="A37" s="28" t="s">
        <v>501</v>
      </c>
      <c r="B37" s="28" t="s">
        <v>502</v>
      </c>
      <c r="C37" s="28">
        <v>-1.6731483</v>
      </c>
      <c r="D37" s="28">
        <v>-78.648646499999998</v>
      </c>
    </row>
    <row r="38" spans="1:4">
      <c r="A38" s="28" t="s">
        <v>503</v>
      </c>
      <c r="B38" s="28" t="s">
        <v>464</v>
      </c>
      <c r="C38" s="28">
        <v>-0.22229670000000001</v>
      </c>
      <c r="D38" s="28">
        <v>-78.523431299999999</v>
      </c>
    </row>
    <row r="39" spans="1:4">
      <c r="A39" s="28" t="s">
        <v>532</v>
      </c>
      <c r="B39" s="28" t="s">
        <v>533</v>
      </c>
      <c r="C39" s="28">
        <v>-0.91512260000000001</v>
      </c>
      <c r="D39" s="28">
        <v>-89.566295499999995</v>
      </c>
    </row>
    <row r="40" spans="1:4">
      <c r="A40" s="28" t="s">
        <v>504</v>
      </c>
      <c r="B40" s="28" t="s">
        <v>481</v>
      </c>
      <c r="C40" s="28">
        <v>0.34784209999999999</v>
      </c>
      <c r="D40" s="28">
        <v>-78.117358800000005</v>
      </c>
    </row>
    <row r="41" spans="1:4">
      <c r="A41" s="28" t="s">
        <v>505</v>
      </c>
      <c r="B41" s="28" t="s">
        <v>533</v>
      </c>
      <c r="C41" s="28">
        <v>-2.8959964</v>
      </c>
      <c r="D41" s="28">
        <v>-79.019394700000007</v>
      </c>
    </row>
    <row r="42" spans="1:4">
      <c r="A42" s="28" t="s">
        <v>506</v>
      </c>
      <c r="B42" s="28" t="s">
        <v>496</v>
      </c>
      <c r="C42" s="28">
        <v>-0.93362149999999999</v>
      </c>
      <c r="D42" s="28">
        <v>-78.615048799999997</v>
      </c>
    </row>
    <row r="43" spans="1:4">
      <c r="A43" s="28" t="s">
        <v>507</v>
      </c>
      <c r="B43" s="28" t="s">
        <v>481</v>
      </c>
      <c r="C43" s="28">
        <v>0.39246120000000001</v>
      </c>
      <c r="D43" s="28">
        <v>-77.940295699999993</v>
      </c>
    </row>
    <row r="44" spans="1:4">
      <c r="A44" s="28" t="s">
        <v>508</v>
      </c>
      <c r="B44" s="28" t="s">
        <v>482</v>
      </c>
      <c r="C44" s="28">
        <v>-0.21499770000000001</v>
      </c>
      <c r="D44" s="28">
        <v>-78.496884499999993</v>
      </c>
    </row>
    <row r="45" spans="1:4">
      <c r="A45" s="28" t="s">
        <v>509</v>
      </c>
      <c r="B45" s="28" t="s">
        <v>466</v>
      </c>
      <c r="C45" s="28">
        <v>-2.9179485999999999</v>
      </c>
      <c r="D45" s="28">
        <v>-78.846187999999998</v>
      </c>
    </row>
    <row r="46" spans="1:4">
      <c r="A46" s="28" t="s">
        <v>534</v>
      </c>
      <c r="B46" s="28" t="s">
        <v>482</v>
      </c>
      <c r="C46" s="28">
        <v>-0.39888000000000001</v>
      </c>
      <c r="D46" s="28">
        <v>-78.436810699999995</v>
      </c>
    </row>
    <row r="47" spans="1:4">
      <c r="A47" s="28" t="s">
        <v>535</v>
      </c>
      <c r="B47" s="28" t="s">
        <v>496</v>
      </c>
      <c r="C47" s="28">
        <v>-1.0077046999999999</v>
      </c>
      <c r="D47" s="28">
        <v>-78.855920499999996</v>
      </c>
    </row>
    <row r="48" spans="1:4">
      <c r="A48" s="28" t="s">
        <v>510</v>
      </c>
      <c r="B48" s="28" t="s">
        <v>484</v>
      </c>
      <c r="C48" s="28">
        <v>-2.3812384999999998</v>
      </c>
      <c r="D48" s="28">
        <v>-77.508746299999999</v>
      </c>
    </row>
    <row r="49" spans="1:4">
      <c r="A49" s="28" t="s">
        <v>511</v>
      </c>
      <c r="B49" s="28" t="s">
        <v>482</v>
      </c>
      <c r="C49" s="28">
        <v>8.6495500000000003E-2</v>
      </c>
      <c r="D49" s="28">
        <v>-79.052576999999999</v>
      </c>
    </row>
    <row r="50" spans="1:4">
      <c r="A50" s="28" t="s">
        <v>512</v>
      </c>
      <c r="B50" s="28" t="s">
        <v>536</v>
      </c>
      <c r="C50" s="28">
        <v>-1.9432708000000001</v>
      </c>
      <c r="D50" s="28">
        <v>-79.066069499999998</v>
      </c>
    </row>
    <row r="51" spans="1:4">
      <c r="A51" s="28" t="s">
        <v>513</v>
      </c>
      <c r="B51" s="28" t="s">
        <v>524</v>
      </c>
      <c r="C51" s="28">
        <v>-0.43739460000000002</v>
      </c>
      <c r="D51" s="28">
        <v>-80.376140899999996</v>
      </c>
    </row>
    <row r="52" spans="1:4">
      <c r="A52" s="28" t="s">
        <v>514</v>
      </c>
      <c r="B52" s="28" t="s">
        <v>474</v>
      </c>
      <c r="C52" s="28">
        <v>-3.4145539</v>
      </c>
      <c r="D52" s="28">
        <v>-80.154904000000002</v>
      </c>
    </row>
    <row r="53" spans="1:4">
      <c r="A53" s="28" t="s">
        <v>537</v>
      </c>
      <c r="B53" s="28" t="s">
        <v>498</v>
      </c>
      <c r="C53" s="28">
        <v>-4.2302729000000001</v>
      </c>
      <c r="D53" s="28">
        <v>-79.436563800000002</v>
      </c>
    </row>
    <row r="54" spans="1:4">
      <c r="A54" s="28" t="s">
        <v>515</v>
      </c>
      <c r="B54" s="28" t="s">
        <v>496</v>
      </c>
      <c r="C54" s="28">
        <v>-1.1007381000000001</v>
      </c>
      <c r="D54" s="28">
        <v>-79.164110899999997</v>
      </c>
    </row>
    <row r="55" spans="1:4">
      <c r="A55" s="28" t="s">
        <v>538</v>
      </c>
      <c r="B55" s="28" t="s">
        <v>498</v>
      </c>
      <c r="C55" s="28">
        <v>-4.3490567999999996</v>
      </c>
      <c r="D55" s="28">
        <v>-79.916141600000003</v>
      </c>
    </row>
    <row r="56" spans="1:4">
      <c r="A56" s="28" t="s">
        <v>516</v>
      </c>
      <c r="B56" s="28" t="s">
        <v>482</v>
      </c>
      <c r="C56" s="28">
        <v>-3.8812999999999999E-3</v>
      </c>
      <c r="D56" s="28">
        <v>-78.048180099999996</v>
      </c>
    </row>
    <row r="57" spans="1:4">
      <c r="A57" s="28" t="s">
        <v>517</v>
      </c>
      <c r="B57" s="28" t="s">
        <v>528</v>
      </c>
      <c r="C57" s="28">
        <v>8.0699999999999994E-2</v>
      </c>
      <c r="D57" s="28">
        <v>-77.564899999999994</v>
      </c>
    </row>
    <row r="58" spans="1:4">
      <c r="A58" s="28" t="s">
        <v>518</v>
      </c>
      <c r="B58" s="28" t="s">
        <v>528</v>
      </c>
      <c r="C58" s="28">
        <v>0.1116857</v>
      </c>
      <c r="D58" s="28">
        <v>-77.639881700000004</v>
      </c>
    </row>
    <row r="59" spans="1:4">
      <c r="A59" s="28" t="s">
        <v>519</v>
      </c>
      <c r="B59" s="28" t="s">
        <v>476</v>
      </c>
      <c r="C59" s="28">
        <v>-0.6471884</v>
      </c>
      <c r="D59" s="28">
        <v>-77.325273800000005</v>
      </c>
    </row>
    <row r="60" spans="1:4">
      <c r="A60" s="28" t="s">
        <v>520</v>
      </c>
      <c r="B60" s="28" t="s">
        <v>484</v>
      </c>
      <c r="C60" s="28">
        <v>-2.6463000000000001</v>
      </c>
      <c r="D60" s="28">
        <v>-78.216700000000003</v>
      </c>
    </row>
    <row r="61" spans="1:4">
      <c r="A61" s="29" t="s">
        <v>487</v>
      </c>
      <c r="B61" s="29" t="s">
        <v>476</v>
      </c>
      <c r="C61" s="30">
        <v>-0.98460000000000003</v>
      </c>
      <c r="D61" s="30">
        <v>-75.989099999999993</v>
      </c>
    </row>
    <row r="62" spans="1:4">
      <c r="A62" s="29" t="s">
        <v>500</v>
      </c>
      <c r="B62" s="29" t="s">
        <v>492</v>
      </c>
      <c r="C62" s="30">
        <v>-1.3536999999999999</v>
      </c>
      <c r="D62" s="30">
        <v>-76.844099999999997</v>
      </c>
    </row>
    <row r="63" spans="1:4">
      <c r="A63" s="29" t="s">
        <v>539</v>
      </c>
      <c r="B63" s="29" t="s">
        <v>481</v>
      </c>
      <c r="C63" s="30">
        <v>0.3327</v>
      </c>
      <c r="D63" s="30">
        <v>-78.216700000000003</v>
      </c>
    </row>
    <row r="64" spans="1:4">
      <c r="A64" s="29" t="s">
        <v>540</v>
      </c>
      <c r="B64" s="29" t="s">
        <v>469</v>
      </c>
      <c r="C64" s="30">
        <v>-1.2491000000000001</v>
      </c>
      <c r="D64" s="30">
        <v>-78.616799999999998</v>
      </c>
    </row>
    <row r="65" spans="1:4">
      <c r="A65" s="29" t="s">
        <v>478</v>
      </c>
      <c r="B65" s="29" t="s">
        <v>528</v>
      </c>
      <c r="C65" s="30">
        <v>-0.26550000000000001</v>
      </c>
      <c r="D65" s="30">
        <v>-75.892099999999999</v>
      </c>
    </row>
    <row r="66" spans="1:4">
      <c r="A66" s="29" t="s">
        <v>541</v>
      </c>
      <c r="B66" s="29" t="s">
        <v>502</v>
      </c>
      <c r="C66" s="30">
        <v>-2.1972999999999998</v>
      </c>
      <c r="D66" s="30">
        <v>-78.847300000000004</v>
      </c>
    </row>
    <row r="67" spans="1:4">
      <c r="A67" s="34" t="s">
        <v>544</v>
      </c>
      <c r="B67" s="35" t="s">
        <v>530</v>
      </c>
      <c r="C67" s="34">
        <v>-2.4239000000000002</v>
      </c>
      <c r="D67" s="34">
        <v>-79.336699999999993</v>
      </c>
    </row>
    <row r="68" spans="1:4">
      <c r="A68" s="34" t="s">
        <v>545</v>
      </c>
      <c r="B68" s="35" t="s">
        <v>528</v>
      </c>
      <c r="C68" s="34">
        <v>8.5400000000000004E-2</v>
      </c>
      <c r="D68" s="34">
        <v>-76.891499999999994</v>
      </c>
    </row>
    <row r="69" spans="1:4">
      <c r="A69" s="34" t="s">
        <v>543</v>
      </c>
      <c r="B69" s="35" t="s">
        <v>481</v>
      </c>
      <c r="C69" s="34">
        <v>0.23330000000000001</v>
      </c>
      <c r="D69" s="34">
        <v>-78.2667</v>
      </c>
    </row>
    <row r="70" spans="1:4">
      <c r="A70" s="34" t="s">
        <v>530</v>
      </c>
      <c r="B70" s="35" t="s">
        <v>530</v>
      </c>
      <c r="C70" s="34">
        <v>-2.5541999999999998</v>
      </c>
      <c r="D70" s="34">
        <v>-78.939099999999996</v>
      </c>
    </row>
    <row r="71" spans="1:4">
      <c r="A71" s="34" t="s">
        <v>546</v>
      </c>
      <c r="B71" s="35" t="s">
        <v>466</v>
      </c>
      <c r="C71" s="34">
        <v>-2.9005999999999998</v>
      </c>
      <c r="D71" s="34">
        <v>-79.004499999999993</v>
      </c>
    </row>
    <row r="72" spans="1:4">
      <c r="A72" s="34" t="s">
        <v>547</v>
      </c>
      <c r="B72" s="35" t="s">
        <v>498</v>
      </c>
      <c r="C72" s="34">
        <v>-3.9870000000000001</v>
      </c>
      <c r="D72" s="34">
        <v>-79.359200000000001</v>
      </c>
    </row>
    <row r="73" spans="1:4">
      <c r="A73" s="34" t="s">
        <v>548</v>
      </c>
      <c r="B73" s="35" t="s">
        <v>533</v>
      </c>
      <c r="C73" s="34">
        <v>-0.6663</v>
      </c>
      <c r="D73" s="34">
        <v>-90.333299999999994</v>
      </c>
    </row>
    <row r="74" spans="1:4">
      <c r="A74" s="34" t="s">
        <v>549</v>
      </c>
      <c r="B74" s="35" t="s">
        <v>528</v>
      </c>
      <c r="C74" s="34">
        <v>6.6699999999999995E-2</v>
      </c>
      <c r="D74" s="34">
        <v>-75.933300000000003</v>
      </c>
    </row>
    <row r="75" spans="1:4">
      <c r="A75" s="34" t="s">
        <v>550</v>
      </c>
      <c r="B75" s="35" t="s">
        <v>464</v>
      </c>
      <c r="C75" s="34">
        <v>-0.91359999999999997</v>
      </c>
      <c r="D75" s="34">
        <v>-77.805999999999997</v>
      </c>
    </row>
    <row r="76" spans="1:4">
      <c r="A76" s="34" t="s">
        <v>551</v>
      </c>
      <c r="B76" s="35" t="s">
        <v>524</v>
      </c>
      <c r="C76" s="34">
        <v>7.1599999999999997E-2</v>
      </c>
      <c r="D76" s="34">
        <v>-79.997299999999996</v>
      </c>
    </row>
    <row r="77" spans="1:4">
      <c r="A77" s="34" t="s">
        <v>542</v>
      </c>
      <c r="B77" s="35" t="s">
        <v>552</v>
      </c>
      <c r="C77" s="34">
        <v>0.81100000000000005</v>
      </c>
      <c r="D77" s="34">
        <v>-77.717299999999994</v>
      </c>
    </row>
    <row r="78" spans="1:4">
      <c r="A78" s="34" t="s">
        <v>537</v>
      </c>
      <c r="B78" s="35" t="s">
        <v>498</v>
      </c>
      <c r="C78" s="34">
        <v>-4.2302999999999997</v>
      </c>
      <c r="D78" s="34">
        <v>-79.436599999999999</v>
      </c>
    </row>
    <row r="79" spans="1:4">
      <c r="A79" s="34" t="s">
        <v>553</v>
      </c>
      <c r="B79" s="35" t="s">
        <v>468</v>
      </c>
      <c r="C79" s="34">
        <v>-1.8167</v>
      </c>
      <c r="D79" s="34">
        <v>-79.5167</v>
      </c>
    </row>
    <row r="80" spans="1:4">
      <c r="A80" s="34" t="s">
        <v>554</v>
      </c>
      <c r="B80" s="35" t="s">
        <v>481</v>
      </c>
      <c r="C80" s="34">
        <v>0.59730000000000005</v>
      </c>
      <c r="D80" s="34">
        <v>-78.206900000000005</v>
      </c>
    </row>
    <row r="81" spans="1:4">
      <c r="A81" s="34" t="s">
        <v>555</v>
      </c>
      <c r="B81" s="35" t="s">
        <v>552</v>
      </c>
      <c r="C81" s="34">
        <v>0.65410000000000001</v>
      </c>
      <c r="D81" s="34">
        <v>-77.945300000000003</v>
      </c>
    </row>
    <row r="82" spans="1:4">
      <c r="A82" s="34" t="s">
        <v>556</v>
      </c>
      <c r="B82" s="34" t="s">
        <v>498</v>
      </c>
      <c r="C82" s="34">
        <v>-4.2302999999999997</v>
      </c>
      <c r="D82" s="34">
        <v>-79.436599999999999</v>
      </c>
    </row>
    <row r="83" spans="1:4">
      <c r="A83" s="34"/>
    </row>
    <row r="84" spans="1:4">
      <c r="A84" s="3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Estaciones</vt:lpstr>
      <vt:lpstr>Tabelle2</vt:lpstr>
      <vt:lpstr>Cantones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Penaherrera Vaca, Fernando Andres</dc:creator>
  <cp:lastModifiedBy>Fernando Peñaherrera</cp:lastModifiedBy>
  <dcterms:created xsi:type="dcterms:W3CDTF">2025-10-30T10:38:30Z</dcterms:created>
  <dcterms:modified xsi:type="dcterms:W3CDTF">2025-11-07T11:43:28Z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2025-10-30T00:00:00Z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2025-10-30T00:00:00Z</vt:filetime>
  </property>
</Properties>
</file>