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positories\Repos\pypsa-earth-project\EcuadorElectricGrid\data\raw\generation\"/>
    </mc:Choice>
  </mc:AlternateContent>
  <xr:revisionPtr revIDLastSave="0" documentId="13_ncr:1_{C1AEE4A9-F138-4C3F-94B9-36462CEA96DC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Futu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1" i="1" l="1"/>
  <c r="H30" i="1"/>
  <c r="O12" i="1" l="1"/>
  <c r="O11" i="1"/>
  <c r="O8" i="1"/>
</calcChain>
</file>

<file path=xl/sharedStrings.xml><?xml version="1.0" encoding="utf-8"?>
<sst xmlns="http://schemas.openxmlformats.org/spreadsheetml/2006/main" count="222" uniqueCount="119">
  <si>
    <r>
      <rPr>
        <b/>
        <sz val="9"/>
        <rFont val="Arial"/>
        <family val="2"/>
      </rPr>
      <t>Año de entrada en operación</t>
    </r>
  </si>
  <si>
    <r>
      <rPr>
        <b/>
        <sz val="9"/>
        <rFont val="Arial"/>
        <family val="2"/>
      </rPr>
      <t>Proyecto / Central</t>
    </r>
  </si>
  <si>
    <r>
      <rPr>
        <b/>
        <sz val="9"/>
        <rFont val="Arial"/>
        <family val="2"/>
      </rPr>
      <t>Empresa / Institución</t>
    </r>
  </si>
  <si>
    <r>
      <rPr>
        <b/>
        <sz val="9"/>
        <rFont val="Arial"/>
        <family val="2"/>
      </rPr>
      <t>Estado</t>
    </r>
  </si>
  <si>
    <r>
      <rPr>
        <b/>
        <sz val="9"/>
        <rFont val="Arial"/>
        <family val="2"/>
      </rPr>
      <t>Inversión pública o privada</t>
    </r>
  </si>
  <si>
    <r>
      <rPr>
        <b/>
        <sz val="9"/>
        <rFont val="Arial"/>
        <family val="2"/>
      </rPr>
      <t>Tipo</t>
    </r>
  </si>
  <si>
    <r>
      <rPr>
        <b/>
        <sz val="9"/>
        <rFont val="Arial"/>
        <family val="2"/>
      </rPr>
      <t>Potencia [MW]</t>
    </r>
  </si>
  <si>
    <r>
      <rPr>
        <b/>
        <sz val="9"/>
        <rFont val="Arial"/>
        <family val="2"/>
      </rPr>
      <t>Energía media [GWh/año]</t>
    </r>
  </si>
  <si>
    <r>
      <rPr>
        <b/>
        <sz val="9"/>
        <rFont val="Arial"/>
        <family val="2"/>
      </rPr>
      <t>Provincia</t>
    </r>
  </si>
  <si>
    <r>
      <rPr>
        <b/>
        <sz val="9"/>
        <rFont val="Arial"/>
        <family val="2"/>
      </rPr>
      <t>Cantón</t>
    </r>
  </si>
  <si>
    <r>
      <rPr>
        <sz val="9"/>
        <color rgb="FF3C3C3B"/>
        <rFont val="Arial MT"/>
        <family val="2"/>
      </rPr>
      <t>Normandía</t>
    </r>
  </si>
  <si>
    <r>
      <rPr>
        <sz val="9"/>
        <color rgb="FF3C3C3B"/>
        <rFont val="Arial MT"/>
        <family val="2"/>
      </rPr>
      <t>Hidronormandía S.A.</t>
    </r>
  </si>
  <si>
    <r>
      <rPr>
        <sz val="9"/>
        <color rgb="FF3C3C3B"/>
        <rFont val="Arial MT"/>
        <family val="2"/>
      </rPr>
      <t>En operación</t>
    </r>
  </si>
  <si>
    <r>
      <rPr>
        <sz val="9"/>
        <color rgb="FF3C3C3B"/>
        <rFont val="Arial MT"/>
        <family val="2"/>
      </rPr>
      <t>Privada</t>
    </r>
  </si>
  <si>
    <r>
      <rPr>
        <sz val="9"/>
        <color rgb="FF3C3C3B"/>
        <rFont val="Arial MT"/>
        <family val="2"/>
      </rPr>
      <t>Hidroeléctrico</t>
    </r>
  </si>
  <si>
    <r>
      <rPr>
        <sz val="9"/>
        <color rgb="FF3C3C3B"/>
        <rFont val="Arial MT"/>
        <family val="2"/>
      </rPr>
      <t>Morona Santiago</t>
    </r>
  </si>
  <si>
    <r>
      <rPr>
        <sz val="9"/>
        <color rgb="FF3C3C3B"/>
        <rFont val="Arial MT"/>
        <family val="2"/>
      </rPr>
      <t>Morona</t>
    </r>
  </si>
  <si>
    <r>
      <rPr>
        <sz val="9"/>
        <color rgb="FF3C3C3B"/>
        <rFont val="Arial MT"/>
        <family val="2"/>
      </rPr>
      <t>Delsitanisagua</t>
    </r>
  </si>
  <si>
    <r>
      <rPr>
        <sz val="9"/>
        <color rgb="FF3C3C3B"/>
        <rFont val="Arial MT"/>
        <family val="2"/>
      </rPr>
      <t>CELEC EP - Gensur</t>
    </r>
  </si>
  <si>
    <r>
      <rPr>
        <sz val="9"/>
        <color rgb="FF3C3C3B"/>
        <rFont val="Arial MT"/>
        <family val="2"/>
      </rPr>
      <t>Pública</t>
    </r>
  </si>
  <si>
    <r>
      <rPr>
        <sz val="9"/>
        <color rgb="FF3C3C3B"/>
        <rFont val="Arial MT"/>
        <family val="2"/>
      </rPr>
      <t>Zamora Chinchipe</t>
    </r>
  </si>
  <si>
    <r>
      <rPr>
        <sz val="9"/>
        <color rgb="FF3C3C3B"/>
        <rFont val="Arial MT"/>
        <family val="2"/>
      </rPr>
      <t>Zamora</t>
    </r>
  </si>
  <si>
    <r>
      <rPr>
        <sz val="9"/>
        <color rgb="FF3C3C3B"/>
        <rFont val="Arial MT"/>
        <family val="2"/>
      </rPr>
      <t>Minas - San Francisco</t>
    </r>
  </si>
  <si>
    <r>
      <rPr>
        <sz val="9"/>
        <color rgb="FF3C3C3B"/>
        <rFont val="Arial MT"/>
        <family val="2"/>
      </rPr>
      <t>CELEC EP - Enerjubones</t>
    </r>
  </si>
  <si>
    <r>
      <rPr>
        <sz val="9"/>
        <color rgb="FF3C3C3B"/>
        <rFont val="Arial MT"/>
        <family val="2"/>
      </rPr>
      <t>Pusuno</t>
    </r>
  </si>
  <si>
    <r>
      <rPr>
        <sz val="9"/>
        <color rgb="FF3C3C3B"/>
        <rFont val="Arial MT"/>
        <family val="2"/>
      </rPr>
      <t>Elitenergy S.A.</t>
    </r>
  </si>
  <si>
    <r>
      <rPr>
        <sz val="9"/>
        <color rgb="FF3C3C3B"/>
        <rFont val="Arial MT"/>
        <family val="2"/>
      </rPr>
      <t>Napo</t>
    </r>
  </si>
  <si>
    <r>
      <rPr>
        <sz val="9"/>
        <color rgb="FF3C3C3B"/>
        <rFont val="Arial MT"/>
        <family val="2"/>
      </rPr>
      <t>Tena</t>
    </r>
  </si>
  <si>
    <r>
      <rPr>
        <sz val="9"/>
        <color rgb="FF3C3C3B"/>
        <rFont val="Arial MT"/>
        <family val="2"/>
      </rPr>
      <t>Río Verde Chico</t>
    </r>
  </si>
  <si>
    <r>
      <rPr>
        <sz val="9"/>
        <color rgb="FF3C3C3B"/>
        <rFont val="Arial MT"/>
        <family val="2"/>
      </rPr>
      <t>Hidrosierra S.A.</t>
    </r>
  </si>
  <si>
    <r>
      <rPr>
        <sz val="9"/>
        <color rgb="FF3C3C3B"/>
        <rFont val="Arial MT"/>
        <family val="2"/>
      </rPr>
      <t>Tungurahua</t>
    </r>
  </si>
  <si>
    <r>
      <rPr>
        <sz val="9"/>
        <color rgb="FF3C3C3B"/>
        <rFont val="Arial MT"/>
        <family val="2"/>
      </rPr>
      <t>Baños de Agua Santa</t>
    </r>
  </si>
  <si>
    <r>
      <rPr>
        <sz val="9"/>
        <color rgb="FF3C3C3B"/>
        <rFont val="Arial MT"/>
        <family val="2"/>
      </rPr>
      <t>San José de Minas</t>
    </r>
  </si>
  <si>
    <r>
      <rPr>
        <sz val="9"/>
        <color rgb="FF3C3C3B"/>
        <rFont val="Arial MT"/>
        <family val="2"/>
      </rPr>
      <t>Hidroeléctrica San José de Minas S.A.</t>
    </r>
  </si>
  <si>
    <r>
      <rPr>
        <sz val="9"/>
        <color rgb="FF3C3C3B"/>
        <rFont val="Arial MT"/>
        <family val="2"/>
      </rPr>
      <t>En construcción</t>
    </r>
  </si>
  <si>
    <r>
      <rPr>
        <sz val="9"/>
        <color rgb="FF3C3C3B"/>
        <rFont val="Arial MT"/>
        <family val="2"/>
      </rPr>
      <t>Pichincha</t>
    </r>
  </si>
  <si>
    <r>
      <rPr>
        <sz val="9"/>
        <color rgb="FF3C3C3B"/>
        <rFont val="Arial MT"/>
        <family val="2"/>
      </rPr>
      <t>Quito</t>
    </r>
  </si>
  <si>
    <r>
      <rPr>
        <sz val="9"/>
        <color rgb="FF3C3C3B"/>
        <rFont val="Arial MT"/>
        <family val="2"/>
      </rPr>
      <t>Machala Gas Tercera Unidad</t>
    </r>
  </si>
  <si>
    <r>
      <rPr>
        <sz val="9"/>
        <color rgb="FF3C3C3B"/>
        <rFont val="Arial MT"/>
        <family val="2"/>
      </rPr>
      <t>CELEC EP - Termogas Machala</t>
    </r>
  </si>
  <si>
    <r>
      <rPr>
        <sz val="9"/>
        <color rgb="FF3C3C3B"/>
        <rFont val="Arial MT"/>
        <family val="2"/>
      </rPr>
      <t>Termoeléctrico</t>
    </r>
  </si>
  <si>
    <r>
      <rPr>
        <sz val="9"/>
        <color rgb="FF3C3C3B"/>
        <rFont val="Arial MT"/>
        <family val="2"/>
      </rPr>
      <t>El Oro</t>
    </r>
  </si>
  <si>
    <r>
      <rPr>
        <sz val="9"/>
        <color rgb="FF3C3C3B"/>
        <rFont val="Arial MT"/>
        <family val="2"/>
      </rPr>
      <t>El Guabo</t>
    </r>
  </si>
  <si>
    <r>
      <rPr>
        <sz val="9"/>
        <color rgb="FF3C3C3B"/>
        <rFont val="Arial MT"/>
        <family val="2"/>
      </rPr>
      <t>Mazar-Dudas: San Antonio</t>
    </r>
  </si>
  <si>
    <r>
      <rPr>
        <sz val="9"/>
        <color rgb="FF3C3C3B"/>
        <rFont val="Arial MT"/>
        <family val="2"/>
      </rPr>
      <t>CELEC EP - Hidroazogues</t>
    </r>
  </si>
  <si>
    <r>
      <rPr>
        <sz val="9"/>
        <color rgb="FF3C3C3B"/>
        <rFont val="Arial MT"/>
        <family val="2"/>
      </rPr>
      <t>Paralizado</t>
    </r>
  </si>
  <si>
    <r>
      <rPr>
        <sz val="9"/>
        <color rgb="FF3C3C3B"/>
        <rFont val="Arial MT"/>
        <family val="2"/>
      </rPr>
      <t>Cañar</t>
    </r>
  </si>
  <si>
    <r>
      <rPr>
        <sz val="9"/>
        <color rgb="FF3C3C3B"/>
        <rFont val="Arial MT"/>
        <family val="2"/>
      </rPr>
      <t>Azogues</t>
    </r>
  </si>
  <si>
    <r>
      <rPr>
        <sz val="9"/>
        <color rgb="FF3C3C3B"/>
        <rFont val="Arial MT"/>
        <family val="2"/>
      </rPr>
      <t>Minas de Huascachaca</t>
    </r>
  </si>
  <si>
    <r>
      <rPr>
        <sz val="9"/>
        <color rgb="FF3C3C3B"/>
        <rFont val="Arial MT"/>
        <family val="2"/>
      </rPr>
      <t>Elecaustro S.A.</t>
    </r>
  </si>
  <si>
    <r>
      <rPr>
        <sz val="9"/>
        <color rgb="FF3C3C3B"/>
        <rFont val="Arial MT"/>
        <family val="2"/>
      </rPr>
      <t>Eólico</t>
    </r>
  </si>
  <si>
    <r>
      <rPr>
        <sz val="9"/>
        <color rgb="FF3C3C3B"/>
        <rFont val="Arial MT"/>
        <family val="2"/>
      </rPr>
      <t>Loja</t>
    </r>
  </si>
  <si>
    <r>
      <rPr>
        <sz val="9"/>
        <color rgb="FF3C3C3B"/>
        <rFont val="Arial MT"/>
        <family val="2"/>
      </rPr>
      <t>Saraguro</t>
    </r>
  </si>
  <si>
    <r>
      <rPr>
        <sz val="9"/>
        <color rgb="FF3C3C3B"/>
        <rFont val="Arial MT"/>
        <family val="2"/>
      </rPr>
      <t>Machala Gas Ciclo Combinado</t>
    </r>
  </si>
  <si>
    <r>
      <rPr>
        <sz val="9"/>
        <color rgb="FF3C3C3B"/>
        <rFont val="Arial MT"/>
        <family val="2"/>
      </rPr>
      <t>Piatúa</t>
    </r>
  </si>
  <si>
    <r>
      <rPr>
        <sz val="9"/>
        <color rgb="FF3C3C3B"/>
        <rFont val="Arial MT"/>
        <family val="2"/>
      </rPr>
      <t>San Francisco Genefran S.A.</t>
    </r>
  </si>
  <si>
    <r>
      <rPr>
        <sz val="9"/>
        <color rgb="FF3C3C3B"/>
        <rFont val="Arial MT"/>
        <family val="2"/>
      </rPr>
      <t>Pastaza, Napo</t>
    </r>
  </si>
  <si>
    <r>
      <rPr>
        <sz val="9"/>
        <color rgb="FF3C3C3B"/>
        <rFont val="Arial MT"/>
        <family val="2"/>
      </rPr>
      <t>Santa Clara, Mera</t>
    </r>
  </si>
  <si>
    <r>
      <rPr>
        <sz val="9"/>
        <color rgb="FF3C3C3B"/>
        <rFont val="Arial MT"/>
        <family val="2"/>
      </rPr>
      <t>Chalpi Grande</t>
    </r>
  </si>
  <si>
    <r>
      <rPr>
        <sz val="9"/>
        <color rgb="FF3C3C3B"/>
        <rFont val="Arial MT"/>
        <family val="2"/>
      </rPr>
      <t>EPMAPS EP</t>
    </r>
  </si>
  <si>
    <r>
      <rPr>
        <sz val="9"/>
        <color rgb="FF3C3C3B"/>
        <rFont val="Arial MT"/>
        <family val="2"/>
      </rPr>
      <t>Quijos</t>
    </r>
  </si>
  <si>
    <r>
      <rPr>
        <sz val="9"/>
        <color rgb="FF3C3C3B"/>
        <rFont val="Arial MT"/>
        <family val="2"/>
      </rPr>
      <t>CELEC EP - Hidrotoapi</t>
    </r>
  </si>
  <si>
    <r>
      <rPr>
        <sz val="9"/>
        <color rgb="FF3C3C3B"/>
        <rFont val="Arial MT"/>
        <family val="2"/>
      </rPr>
      <t>La Magdalena</t>
    </r>
  </si>
  <si>
    <r>
      <rPr>
        <sz val="9"/>
        <color rgb="FF3C3C3B"/>
        <rFont val="Arial MT"/>
        <family val="2"/>
      </rPr>
      <t>Hidroequinoccio EP</t>
    </r>
  </si>
  <si>
    <r>
      <rPr>
        <sz val="9"/>
        <color rgb="FF3C3C3B"/>
        <rFont val="Arial MT"/>
        <family val="2"/>
      </rPr>
      <t>Autorización de operación</t>
    </r>
  </si>
  <si>
    <r>
      <rPr>
        <sz val="9"/>
        <color rgb="FF3C3C3B"/>
        <rFont val="Arial MT"/>
        <family val="2"/>
      </rPr>
      <t>Imbabura</t>
    </r>
  </si>
  <si>
    <r>
      <rPr>
        <sz val="9"/>
        <color rgb="FF3C3C3B"/>
        <rFont val="Arial MT"/>
        <family val="2"/>
      </rPr>
      <t>Cotacachi</t>
    </r>
  </si>
  <si>
    <r>
      <rPr>
        <sz val="9"/>
        <color rgb="FF3C3C3B"/>
        <rFont val="Arial MT"/>
        <family val="2"/>
      </rPr>
      <t>Maravilla</t>
    </r>
  </si>
  <si>
    <r>
      <rPr>
        <sz val="9"/>
        <color rgb="FF3C3C3B"/>
        <rFont val="Arial MT"/>
        <family val="2"/>
      </rPr>
      <t>Ibarra Fugúa</t>
    </r>
  </si>
  <si>
    <r>
      <rPr>
        <sz val="9"/>
        <color rgb="FF3C3C3B"/>
        <rFont val="Arial MT"/>
        <family val="2"/>
      </rPr>
      <t>Hidro Ibarra Fugúa S.A.</t>
    </r>
  </si>
  <si>
    <r>
      <rPr>
        <sz val="9"/>
        <color rgb="FF3C3C3B"/>
        <rFont val="Arial MT"/>
        <family val="2"/>
      </rPr>
      <t>Contrato de concesión</t>
    </r>
  </si>
  <si>
    <r>
      <rPr>
        <sz val="9"/>
        <color rgb="FF3C3C3B"/>
        <rFont val="Arial MT"/>
        <family val="2"/>
      </rPr>
      <t>Carchi</t>
    </r>
  </si>
  <si>
    <r>
      <rPr>
        <sz val="9"/>
        <color rgb="FF3C3C3B"/>
        <rFont val="Arial MT"/>
        <family val="2"/>
      </rPr>
      <t>Bolívar</t>
    </r>
  </si>
  <si>
    <r>
      <rPr>
        <sz val="9"/>
        <color rgb="FF3C3C3B"/>
        <rFont val="Arial MT"/>
        <family val="2"/>
      </rPr>
      <t>Mazar-Dudas: Dudas</t>
    </r>
  </si>
  <si>
    <r>
      <rPr>
        <sz val="9"/>
        <color rgb="FF3C3C3B"/>
        <rFont val="Arial MT"/>
        <family val="2"/>
      </rPr>
      <t>Sabanilla</t>
    </r>
  </si>
  <si>
    <r>
      <rPr>
        <sz val="9"/>
        <color rgb="FF3C3C3B"/>
        <rFont val="Arial MT"/>
        <family val="2"/>
      </rPr>
      <t>Hidrelgen S.A.</t>
    </r>
  </si>
  <si>
    <r>
      <rPr>
        <sz val="9"/>
        <color rgb="FF3C3C3B"/>
        <rFont val="Arial MT"/>
        <family val="2"/>
      </rPr>
      <t>El Salto</t>
    </r>
  </si>
  <si>
    <r>
      <rPr>
        <sz val="9"/>
        <color rgb="FF3C3C3B"/>
        <rFont val="Arial MT"/>
        <family val="2"/>
      </rPr>
      <t>Pedro Vicente Maldonado</t>
    </r>
  </si>
  <si>
    <r>
      <rPr>
        <sz val="9"/>
        <color rgb="FF3C3C3B"/>
        <rFont val="Arial MT"/>
        <family val="2"/>
      </rPr>
      <t>Chorrillos</t>
    </r>
  </si>
  <si>
    <r>
      <rPr>
        <sz val="9"/>
        <color rgb="FF3C3C3B"/>
        <rFont val="Arial MT"/>
        <family val="2"/>
      </rPr>
      <t>Hidrozamora EP</t>
    </r>
  </si>
  <si>
    <r>
      <rPr>
        <sz val="9"/>
        <color rgb="FF3C3C3B"/>
        <rFont val="Arial MT"/>
        <family val="2"/>
      </rPr>
      <t>Azuay</t>
    </r>
  </si>
  <si>
    <r>
      <rPr>
        <sz val="9"/>
        <color rgb="FF3C3C3B"/>
        <rFont val="Arial MT"/>
        <family val="2"/>
      </rPr>
      <t>Cuenca</t>
    </r>
  </si>
  <si>
    <r>
      <rPr>
        <sz val="9"/>
        <color rgb="FF3C3C3B"/>
        <rFont val="Arial MT"/>
        <family val="2"/>
      </rPr>
      <t>Empresas Concesionarias</t>
    </r>
  </si>
  <si>
    <r>
      <rPr>
        <sz val="9"/>
        <color rgb="FF3C3C3B"/>
        <rFont val="Arial MT"/>
        <family val="2"/>
      </rPr>
      <t>Estructurando Proceso Público de Selección</t>
    </r>
  </si>
  <si>
    <r>
      <rPr>
        <sz val="9"/>
        <color rgb="FF3C3C3B"/>
        <rFont val="Arial MT"/>
        <family val="2"/>
      </rPr>
      <t>ERNC</t>
    </r>
  </si>
  <si>
    <r>
      <rPr>
        <sz val="9"/>
        <color rgb="FF3C3C3B"/>
        <rFont val="Arial MT"/>
        <family val="2"/>
      </rPr>
      <t>CELEC EP - Coca Codo Sinclair</t>
    </r>
  </si>
  <si>
    <r>
      <rPr>
        <sz val="9"/>
        <color rgb="FF3C3C3B"/>
        <rFont val="Arial MT"/>
        <family val="2"/>
      </rPr>
      <t>Santa Cruz</t>
    </r>
  </si>
  <si>
    <r>
      <rPr>
        <sz val="9"/>
        <color rgb="FF3C3C3B"/>
        <rFont val="Arial MT"/>
        <family val="2"/>
      </rPr>
      <t>Hidrocruz S.A.</t>
    </r>
  </si>
  <si>
    <r>
      <rPr>
        <sz val="9"/>
        <color rgb="FF3C3C3B"/>
        <rFont val="Arial MT"/>
        <family val="2"/>
      </rPr>
      <t>Autogeneración minera En trámite</t>
    </r>
  </si>
  <si>
    <r>
      <rPr>
        <sz val="9"/>
        <color rgb="FF3C3C3B"/>
        <rFont val="Arial MT"/>
        <family val="2"/>
      </rPr>
      <t>Mirador</t>
    </r>
  </si>
  <si>
    <r>
      <rPr>
        <sz val="9"/>
        <color rgb="FF3C3C3B"/>
        <rFont val="Arial MT"/>
        <family val="2"/>
      </rPr>
      <t>Paute - Cardenillo</t>
    </r>
  </si>
  <si>
    <r>
      <rPr>
        <sz val="9"/>
        <color rgb="FF3C3C3B"/>
        <rFont val="Arial MT"/>
        <family val="2"/>
      </rPr>
      <t>Empresa Concesionaria</t>
    </r>
  </si>
  <si>
    <r>
      <rPr>
        <sz val="9"/>
        <color rgb="FF3C3C3B"/>
        <rFont val="Arial MT"/>
        <family val="2"/>
      </rPr>
      <t>En proceso público de selección</t>
    </r>
  </si>
  <si>
    <r>
      <rPr>
        <sz val="9"/>
        <color rgb="FF3C3C3B"/>
        <rFont val="Arial MT"/>
        <family val="2"/>
      </rPr>
      <t>Santiago de Méndez</t>
    </r>
  </si>
  <si>
    <r>
      <rPr>
        <sz val="9"/>
        <color rgb="FF3C3C3B"/>
        <rFont val="Arial MT"/>
        <family val="2"/>
      </rPr>
      <t>Santiago (G8), Fase I</t>
    </r>
  </si>
  <si>
    <r>
      <rPr>
        <sz val="9"/>
        <color rgb="FF3C3C3B"/>
        <rFont val="Arial MT"/>
        <family val="2"/>
      </rPr>
      <t>Santiago (G8), Fase II</t>
    </r>
  </si>
  <si>
    <t>Azuay</t>
  </si>
  <si>
    <t>Pucará</t>
  </si>
  <si>
    <t>Pichincha</t>
  </si>
  <si>
    <t>Tiwintza</t>
  </si>
  <si>
    <t xml:space="preserve">Tiwintza </t>
  </si>
  <si>
    <t>Loja</t>
  </si>
  <si>
    <t>Villonaco</t>
  </si>
  <si>
    <t>Latitud</t>
  </si>
  <si>
    <t>Longitud</t>
  </si>
  <si>
    <t>Toachi - Pilatón Expa</t>
  </si>
  <si>
    <t>Central Soldados</t>
  </si>
  <si>
    <t>Bloque de ERNC I Exp</t>
  </si>
  <si>
    <t>Soldados Yanuncay 2</t>
  </si>
  <si>
    <t>CELEC</t>
  </si>
  <si>
    <t>xxx</t>
  </si>
  <si>
    <t>Nuclear</t>
  </si>
  <si>
    <t>Guayaquil</t>
  </si>
  <si>
    <t>Nuclear_2_GYE</t>
  </si>
  <si>
    <t>Nuclear_1_TSL</t>
  </si>
  <si>
    <t>EE</t>
  </si>
  <si>
    <t>Totoras</t>
  </si>
  <si>
    <t>Guayas</t>
  </si>
  <si>
    <t>Tungurahua</t>
  </si>
  <si>
    <t>Mejia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</si>
</sst>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6">
    <font>
      <sz val="10"/>
      <color rgb="FF000000"/>
      <name val="Times New Roman"/>
      <charset val="204"/>
    </font>
    <font>
      <b/>
      <sz val="9"/>
      <name val="Arial"/>
    </font>
    <font>
      <sz val="9"/>
      <color rgb="FF3C3C3B"/>
      <name val="Arial MT"/>
      <family val="2"/>
    </font>
    <font>
      <sz val="9"/>
      <name val="Arial MT"/>
    </font>
    <font>
      <b/>
      <sz val="9"/>
      <name val="Arial"/>
      <family val="2"/>
    </font>
    <font>
      <b/>
      <sz val="10"/>
      <color rgb="FF000000"/>
      <name val="Times New Roman"/>
      <charset val="204"/>
    </font>
  </fonts>
  <fills count="4">
    <fill>
      <patternFill patternType="none"/>
    </fill>
    <fill>
      <patternFill patternType="gray125"/>
    </fill>
    <fill>
      <patternFill patternType="solid">
        <fgColor rgb="FF8D8FC6"/>
      </patternFill>
    </fill>
    <fill>
      <patternFill patternType="solid">
        <fgColor rgb="FFEFEFF8"/>
      </patternFill>
    </fill>
  </fills>
  <borders count="2">
    <border>
      <left/>
      <right/>
      <top/>
      <bottom/>
      <diagonal/>
    </border>
    <border>
      <left style="thin">
        <color rgb="FF5C65AC"/>
      </left>
      <right style="thin">
        <color rgb="FF5C65AC"/>
      </right>
      <top style="thin">
        <color rgb="FF5C65AC"/>
      </top>
      <bottom style="thin">
        <color rgb="FF5C65AC"/>
      </bottom>
      <diagonal/>
    </border>
  </borders>
  <cellStyleXfs count="1">
    <xf numFmtId="0" fontId="0" fillId="0" borderId="0"/>
  </cellStyleXfs>
  <cellXfs count="34">
    <xf numFmtId="0" fontId="0" fillId="0" borderId="0" xfId="0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 indent="1"/>
    </xf>
    <xf numFmtId="0" fontId="1" fillId="2" borderId="1" xfId="0" applyFont="1" applyFill="1" applyBorder="1" applyAlignment="1">
      <alignment horizontal="left" vertical="top" wrapText="1"/>
    </xf>
    <xf numFmtId="1" fontId="2" fillId="0" borderId="1" xfId="0" applyNumberFormat="1" applyFont="1" applyFill="1" applyBorder="1" applyAlignment="1">
      <alignment horizontal="center" vertical="top" shrinkToFit="1"/>
    </xf>
    <xf numFmtId="0" fontId="3" fillId="0" borderId="1" xfId="0" applyFont="1" applyFill="1" applyBorder="1" applyAlignment="1">
      <alignment horizontal="center" vertical="top" wrapText="1"/>
    </xf>
    <xf numFmtId="2" fontId="2" fillId="0" borderId="1" xfId="0" applyNumberFormat="1" applyFont="1" applyFill="1" applyBorder="1" applyAlignment="1">
      <alignment horizontal="center" vertical="top" shrinkToFit="1"/>
    </xf>
    <xf numFmtId="164" fontId="2" fillId="0" borderId="1" xfId="0" applyNumberFormat="1" applyFont="1" applyFill="1" applyBorder="1" applyAlignment="1">
      <alignment horizontal="center" vertical="top" shrinkToFit="1"/>
    </xf>
    <xf numFmtId="1" fontId="2" fillId="3" borderId="1" xfId="0" applyNumberFormat="1" applyFont="1" applyFill="1" applyBorder="1" applyAlignment="1">
      <alignment horizontal="center" vertical="top" shrinkToFit="1"/>
    </xf>
    <xf numFmtId="0" fontId="3" fillId="3" borderId="1" xfId="0" applyFont="1" applyFill="1" applyBorder="1" applyAlignment="1">
      <alignment horizontal="center" vertical="top" wrapText="1"/>
    </xf>
    <xf numFmtId="2" fontId="2" fillId="3" borderId="1" xfId="0" applyNumberFormat="1" applyFont="1" applyFill="1" applyBorder="1" applyAlignment="1">
      <alignment horizontal="center" vertical="top" shrinkToFit="1"/>
    </xf>
    <xf numFmtId="165" fontId="2" fillId="3" borderId="1" xfId="0" applyNumberFormat="1" applyFont="1" applyFill="1" applyBorder="1" applyAlignment="1">
      <alignment horizontal="center" vertical="top" shrinkToFit="1"/>
    </xf>
    <xf numFmtId="165" fontId="2" fillId="0" borderId="1" xfId="0" applyNumberFormat="1" applyFont="1" applyFill="1" applyBorder="1" applyAlignment="1">
      <alignment horizontal="center" vertical="top" shrinkToFit="1"/>
    </xf>
    <xf numFmtId="164" fontId="2" fillId="3" borderId="1" xfId="0" applyNumberFormat="1" applyFont="1" applyFill="1" applyBorder="1" applyAlignment="1">
      <alignment horizontal="center" vertical="top" shrinkToFit="1"/>
    </xf>
    <xf numFmtId="0" fontId="3" fillId="3" borderId="1" xfId="0" applyFont="1" applyFill="1" applyBorder="1" applyAlignment="1">
      <alignment horizontal="left" vertical="top" wrapText="1" indent="1"/>
    </xf>
    <xf numFmtId="0" fontId="3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 indent="1"/>
    </xf>
    <xf numFmtId="0" fontId="3" fillId="3" borderId="1" xfId="0" applyFont="1" applyFill="1" applyBorder="1" applyAlignment="1">
      <alignment horizontal="left" vertical="top" wrapText="1" indent="2"/>
    </xf>
    <xf numFmtId="1" fontId="2" fillId="3" borderId="1" xfId="0" applyNumberFormat="1" applyFont="1" applyFill="1" applyBorder="1" applyAlignment="1">
      <alignment horizontal="center" vertical="center" shrinkToFit="1"/>
    </xf>
    <xf numFmtId="0" fontId="3" fillId="3" borderId="1" xfId="0" applyFont="1" applyFill="1" applyBorder="1" applyAlignment="1">
      <alignment horizontal="center" vertical="center" wrapText="1"/>
    </xf>
    <xf numFmtId="2" fontId="2" fillId="3" borderId="1" xfId="0" applyNumberFormat="1" applyFont="1" applyFill="1" applyBorder="1" applyAlignment="1">
      <alignment horizontal="center" vertical="center" shrinkToFit="1"/>
    </xf>
    <xf numFmtId="165" fontId="2" fillId="3" borderId="1" xfId="0" applyNumberFormat="1" applyFont="1" applyFill="1" applyBorder="1" applyAlignment="1">
      <alignment horizontal="center" vertical="center" shrinkToFit="1"/>
    </xf>
    <xf numFmtId="0" fontId="3" fillId="3" borderId="1" xfId="0" applyFont="1" applyFill="1" applyBorder="1" applyAlignment="1">
      <alignment horizontal="left" vertical="top" wrapText="1"/>
    </xf>
    <xf numFmtId="4" fontId="2" fillId="0" borderId="1" xfId="0" applyNumberFormat="1" applyFont="1" applyFill="1" applyBorder="1" applyAlignment="1">
      <alignment horizontal="center" vertical="top" shrinkToFit="1"/>
    </xf>
    <xf numFmtId="4" fontId="2" fillId="3" borderId="1" xfId="0" applyNumberFormat="1" applyFont="1" applyFill="1" applyBorder="1" applyAlignment="1">
      <alignment horizontal="center" vertical="top" shrinkToFit="1"/>
    </xf>
    <xf numFmtId="0" fontId="2" fillId="0" borderId="1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left" vertical="top" wrapText="1" indent="1"/>
    </xf>
    <xf numFmtId="0" fontId="2" fillId="0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top" wrapText="1" indent="2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"/>
  <sheetViews>
    <sheetView tabSelected="1" workbookViewId="0">
      <selection activeCell="G22" sqref="G22"/>
    </sheetView>
  </sheetViews>
  <sheetFormatPr baseColWidth="10" defaultColWidth="8.796875" defaultRowHeight="13"/>
  <cols>
    <col min="1" max="1" width="9.59765625" customWidth="1"/>
    <col min="2" max="2" width="25.09765625" customWidth="1"/>
    <col min="3" max="3" width="24.19921875" customWidth="1"/>
    <col min="4" max="4" width="14.8984375" customWidth="1"/>
    <col min="5" max="5" width="11.296875" customWidth="1"/>
    <col min="6" max="6" width="12" customWidth="1"/>
    <col min="7" max="7" width="8.69921875" customWidth="1"/>
    <col min="8" max="8" width="13.296875" customWidth="1"/>
    <col min="9" max="9" width="16.69921875" customWidth="1"/>
    <col min="10" max="10" width="26" customWidth="1"/>
    <col min="12" max="12" width="9.796875" bestFit="1" customWidth="1"/>
  </cols>
  <sheetData>
    <row r="1" spans="1:15" ht="34.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 t="s">
        <v>6</v>
      </c>
      <c r="H1" s="3" t="s">
        <v>7</v>
      </c>
      <c r="I1" s="2" t="s">
        <v>8</v>
      </c>
      <c r="J1" s="2" t="s">
        <v>9</v>
      </c>
      <c r="K1" s="31" t="s">
        <v>102</v>
      </c>
      <c r="L1" s="31" t="s">
        <v>103</v>
      </c>
    </row>
    <row r="2" spans="1:15" ht="14.5" customHeight="1">
      <c r="A2" s="5">
        <v>2018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7">
        <v>49.6</v>
      </c>
      <c r="H2" s="8">
        <v>350.3</v>
      </c>
      <c r="I2" s="6" t="s">
        <v>15</v>
      </c>
      <c r="J2" s="6" t="s">
        <v>16</v>
      </c>
      <c r="K2" s="32">
        <v>-2.4303097</v>
      </c>
      <c r="L2" s="32">
        <v>-77.880191999999994</v>
      </c>
    </row>
    <row r="3" spans="1:15" ht="14.5" customHeight="1">
      <c r="A3" s="9">
        <v>2018</v>
      </c>
      <c r="B3" s="10" t="s">
        <v>17</v>
      </c>
      <c r="C3" s="10" t="s">
        <v>18</v>
      </c>
      <c r="D3" s="10" t="s">
        <v>12</v>
      </c>
      <c r="E3" s="10" t="s">
        <v>19</v>
      </c>
      <c r="F3" s="10" t="s">
        <v>14</v>
      </c>
      <c r="G3" s="11">
        <v>180</v>
      </c>
      <c r="H3" s="12">
        <v>1411</v>
      </c>
      <c r="I3" s="10" t="s">
        <v>20</v>
      </c>
      <c r="J3" s="10" t="s">
        <v>21</v>
      </c>
      <c r="K3" s="32">
        <v>-4.0042007999999996</v>
      </c>
      <c r="L3" s="32">
        <v>-78.957775400000003</v>
      </c>
    </row>
    <row r="4" spans="1:15" ht="14.5" customHeight="1">
      <c r="A4" s="5">
        <v>2019</v>
      </c>
      <c r="B4" s="6" t="s">
        <v>22</v>
      </c>
      <c r="C4" s="6" t="s">
        <v>23</v>
      </c>
      <c r="D4" s="6" t="s">
        <v>12</v>
      </c>
      <c r="E4" s="6" t="s">
        <v>19</v>
      </c>
      <c r="F4" s="6" t="s">
        <v>14</v>
      </c>
      <c r="G4" s="7">
        <v>274.5</v>
      </c>
      <c r="H4" s="13">
        <v>1290.8</v>
      </c>
      <c r="I4" s="26" t="s">
        <v>95</v>
      </c>
      <c r="J4" s="26" t="s">
        <v>96</v>
      </c>
      <c r="K4" s="32">
        <v>-3.1748913000000001</v>
      </c>
      <c r="L4" s="32">
        <v>-79.514712700000004</v>
      </c>
    </row>
    <row r="5" spans="1:15" ht="14.5" customHeight="1">
      <c r="A5" s="9">
        <v>2019</v>
      </c>
      <c r="B5" s="10" t="s">
        <v>24</v>
      </c>
      <c r="C5" s="10" t="s">
        <v>25</v>
      </c>
      <c r="D5" s="10" t="s">
        <v>12</v>
      </c>
      <c r="E5" s="10" t="s">
        <v>13</v>
      </c>
      <c r="F5" s="10" t="s">
        <v>14</v>
      </c>
      <c r="G5" s="11">
        <v>39.5</v>
      </c>
      <c r="H5" s="14">
        <v>216.9</v>
      </c>
      <c r="I5" s="10" t="s">
        <v>26</v>
      </c>
      <c r="J5" s="10" t="s">
        <v>27</v>
      </c>
      <c r="K5" s="32">
        <v>-0.94387180000000004</v>
      </c>
      <c r="L5" s="32">
        <v>-78.108398199999996</v>
      </c>
    </row>
    <row r="6" spans="1:15" ht="14.5" customHeight="1">
      <c r="A6" s="5">
        <v>2019</v>
      </c>
      <c r="B6" s="6" t="s">
        <v>28</v>
      </c>
      <c r="C6" s="6" t="s">
        <v>29</v>
      </c>
      <c r="D6" s="6" t="s">
        <v>12</v>
      </c>
      <c r="E6" s="6" t="s">
        <v>13</v>
      </c>
      <c r="F6" s="6" t="s">
        <v>14</v>
      </c>
      <c r="G6" s="7">
        <v>10</v>
      </c>
      <c r="H6" s="8">
        <v>74.3</v>
      </c>
      <c r="I6" s="6" t="s">
        <v>30</v>
      </c>
      <c r="J6" s="6" t="s">
        <v>31</v>
      </c>
      <c r="K6" s="32">
        <v>-1.3319156999999999</v>
      </c>
      <c r="L6" s="32">
        <v>-78.262528500000002</v>
      </c>
    </row>
    <row r="7" spans="1:15" ht="24.5" customHeight="1">
      <c r="A7" s="9">
        <v>2020</v>
      </c>
      <c r="B7" s="10" t="s">
        <v>32</v>
      </c>
      <c r="C7" s="15" t="s">
        <v>33</v>
      </c>
      <c r="D7" s="10" t="s">
        <v>34</v>
      </c>
      <c r="E7" s="10" t="s">
        <v>13</v>
      </c>
      <c r="F7" s="10" t="s">
        <v>14</v>
      </c>
      <c r="G7" s="11">
        <v>5.95</v>
      </c>
      <c r="H7" s="14">
        <v>48</v>
      </c>
      <c r="I7" s="10" t="s">
        <v>35</v>
      </c>
      <c r="J7" s="10" t="s">
        <v>36</v>
      </c>
      <c r="K7" s="32">
        <v>-0.21549199999999999</v>
      </c>
      <c r="L7" s="32">
        <v>-78.501364800000005</v>
      </c>
    </row>
    <row r="8" spans="1:15" ht="14.5" customHeight="1">
      <c r="A8" s="5">
        <v>2020</v>
      </c>
      <c r="B8" s="6" t="s">
        <v>37</v>
      </c>
      <c r="C8" s="6" t="s">
        <v>38</v>
      </c>
      <c r="D8" s="6" t="s">
        <v>34</v>
      </c>
      <c r="E8" s="6" t="s">
        <v>19</v>
      </c>
      <c r="F8" s="6" t="s">
        <v>39</v>
      </c>
      <c r="G8" s="7">
        <v>77</v>
      </c>
      <c r="H8" s="8">
        <v>510</v>
      </c>
      <c r="I8" s="6" t="s">
        <v>40</v>
      </c>
      <c r="J8" s="6" t="s">
        <v>41</v>
      </c>
      <c r="K8" s="32">
        <v>-3.2413487000000001</v>
      </c>
      <c r="L8" s="32">
        <v>-79.829671300000001</v>
      </c>
      <c r="O8">
        <f>+H8/G8</f>
        <v>6.6233766233766236</v>
      </c>
    </row>
    <row r="9" spans="1:15" ht="14.5" customHeight="1">
      <c r="A9" s="9">
        <v>2020</v>
      </c>
      <c r="B9" s="10" t="s">
        <v>42</v>
      </c>
      <c r="C9" s="10" t="s">
        <v>43</v>
      </c>
      <c r="D9" s="10" t="s">
        <v>44</v>
      </c>
      <c r="E9" s="10" t="s">
        <v>19</v>
      </c>
      <c r="F9" s="10" t="s">
        <v>14</v>
      </c>
      <c r="G9" s="11">
        <v>7.19</v>
      </c>
      <c r="H9" s="14">
        <v>44.9</v>
      </c>
      <c r="I9" s="10" t="s">
        <v>45</v>
      </c>
      <c r="J9" s="10" t="s">
        <v>46</v>
      </c>
      <c r="K9" s="32">
        <v>-2.6317292000000001</v>
      </c>
      <c r="L9" s="32">
        <v>-78.700893399999998</v>
      </c>
    </row>
    <row r="10" spans="1:15" ht="14.5" customHeight="1">
      <c r="A10" s="5">
        <v>2020</v>
      </c>
      <c r="B10" s="6" t="s">
        <v>47</v>
      </c>
      <c r="C10" s="6" t="s">
        <v>48</v>
      </c>
      <c r="D10" s="6" t="s">
        <v>34</v>
      </c>
      <c r="E10" s="6" t="s">
        <v>19</v>
      </c>
      <c r="F10" s="6" t="s">
        <v>49</v>
      </c>
      <c r="G10" s="7">
        <v>50</v>
      </c>
      <c r="H10" s="8">
        <v>119</v>
      </c>
      <c r="I10" s="6" t="s">
        <v>50</v>
      </c>
      <c r="J10" s="6" t="s">
        <v>51</v>
      </c>
      <c r="K10" s="32">
        <v>-3.6168999999999998</v>
      </c>
      <c r="L10" s="32">
        <v>-79.239099999999993</v>
      </c>
    </row>
    <row r="11" spans="1:15" ht="14.5" customHeight="1">
      <c r="A11" s="9">
        <v>2021</v>
      </c>
      <c r="B11" s="10" t="s">
        <v>52</v>
      </c>
      <c r="C11" s="10" t="s">
        <v>38</v>
      </c>
      <c r="D11" s="10" t="s">
        <v>44</v>
      </c>
      <c r="E11" s="10" t="s">
        <v>19</v>
      </c>
      <c r="F11" s="10" t="s">
        <v>39</v>
      </c>
      <c r="G11" s="11">
        <v>110</v>
      </c>
      <c r="H11" s="14">
        <v>690</v>
      </c>
      <c r="I11" s="10" t="s">
        <v>40</v>
      </c>
      <c r="J11" s="10" t="s">
        <v>41</v>
      </c>
      <c r="K11" s="32">
        <v>-3.2413487000000001</v>
      </c>
      <c r="L11" s="32">
        <v>-79.829671300000001</v>
      </c>
      <c r="O11">
        <f>+G8*24*365/1000</f>
        <v>674.52</v>
      </c>
    </row>
    <row r="12" spans="1:15" ht="14.5" customHeight="1">
      <c r="A12" s="5">
        <v>2021</v>
      </c>
      <c r="B12" s="6" t="s">
        <v>53</v>
      </c>
      <c r="C12" s="6" t="s">
        <v>54</v>
      </c>
      <c r="D12" s="6" t="s">
        <v>34</v>
      </c>
      <c r="E12" s="6" t="s">
        <v>13</v>
      </c>
      <c r="F12" s="6" t="s">
        <v>14</v>
      </c>
      <c r="G12" s="7">
        <v>30</v>
      </c>
      <c r="H12" s="8">
        <v>210</v>
      </c>
      <c r="I12" s="6" t="s">
        <v>55</v>
      </c>
      <c r="J12" s="6" t="s">
        <v>56</v>
      </c>
      <c r="K12" s="32">
        <v>-1.2935000000000001</v>
      </c>
      <c r="L12" s="32">
        <v>-77.900670000000005</v>
      </c>
      <c r="O12">
        <f>+O8/O11*100</f>
        <v>0.98193924915148911</v>
      </c>
    </row>
    <row r="13" spans="1:15" ht="14.5" customHeight="1">
      <c r="A13" s="9">
        <v>2021</v>
      </c>
      <c r="B13" s="10" t="s">
        <v>57</v>
      </c>
      <c r="C13" s="10" t="s">
        <v>58</v>
      </c>
      <c r="D13" s="10" t="s">
        <v>34</v>
      </c>
      <c r="E13" s="10" t="s">
        <v>19</v>
      </c>
      <c r="F13" s="10" t="s">
        <v>14</v>
      </c>
      <c r="G13" s="11">
        <v>7.59</v>
      </c>
      <c r="H13" s="14">
        <v>36</v>
      </c>
      <c r="I13" s="10" t="s">
        <v>26</v>
      </c>
      <c r="J13" s="10" t="s">
        <v>59</v>
      </c>
      <c r="K13" s="32">
        <v>-0.22229670000000001</v>
      </c>
      <c r="L13" s="32">
        <v>-78.523431299999999</v>
      </c>
    </row>
    <row r="14" spans="1:15" ht="24.5" customHeight="1">
      <c r="A14" s="5">
        <v>2021</v>
      </c>
      <c r="B14" s="28" t="s">
        <v>104</v>
      </c>
      <c r="C14" s="6" t="s">
        <v>60</v>
      </c>
      <c r="D14" s="6" t="s">
        <v>34</v>
      </c>
      <c r="E14" s="6" t="s">
        <v>19</v>
      </c>
      <c r="F14" s="6" t="s">
        <v>14</v>
      </c>
      <c r="G14" s="7">
        <v>254.4</v>
      </c>
      <c r="H14" s="13">
        <v>1120</v>
      </c>
      <c r="I14" s="27" t="s">
        <v>97</v>
      </c>
      <c r="J14" s="28" t="s">
        <v>118</v>
      </c>
      <c r="K14" s="32">
        <v>-0.49847740000000001</v>
      </c>
      <c r="L14" s="32">
        <v>-78.651691499999998</v>
      </c>
    </row>
    <row r="15" spans="1:15" ht="24.5" customHeight="1">
      <c r="A15" s="9">
        <v>2021</v>
      </c>
      <c r="B15" s="10" t="s">
        <v>61</v>
      </c>
      <c r="C15" s="10" t="s">
        <v>62</v>
      </c>
      <c r="D15" s="15" t="s">
        <v>63</v>
      </c>
      <c r="E15" s="10" t="s">
        <v>19</v>
      </c>
      <c r="F15" s="10" t="s">
        <v>14</v>
      </c>
      <c r="G15" s="11">
        <v>20</v>
      </c>
      <c r="H15" s="14">
        <v>167</v>
      </c>
      <c r="I15" s="10" t="s">
        <v>64</v>
      </c>
      <c r="J15" s="10" t="s">
        <v>65</v>
      </c>
      <c r="K15" s="32">
        <v>0.39552340000000002</v>
      </c>
      <c r="L15" s="32">
        <v>-78.450701300000006</v>
      </c>
    </row>
    <row r="16" spans="1:15" ht="24.5" customHeight="1">
      <c r="A16" s="5">
        <v>2021</v>
      </c>
      <c r="B16" s="6" t="s">
        <v>66</v>
      </c>
      <c r="C16" s="6" t="s">
        <v>62</v>
      </c>
      <c r="D16" s="17" t="s">
        <v>63</v>
      </c>
      <c r="E16" s="6" t="s">
        <v>19</v>
      </c>
      <c r="F16" s="6" t="s">
        <v>14</v>
      </c>
      <c r="G16" s="7">
        <v>9</v>
      </c>
      <c r="H16" s="8">
        <v>61.6</v>
      </c>
      <c r="I16" s="6" t="s">
        <v>35</v>
      </c>
      <c r="J16" s="6" t="s">
        <v>36</v>
      </c>
      <c r="K16" s="32">
        <v>-0.21549199999999999</v>
      </c>
      <c r="L16" s="32">
        <v>-78.501364800000005</v>
      </c>
    </row>
    <row r="17" spans="1:12" ht="24.5" customHeight="1">
      <c r="A17" s="9">
        <v>2021</v>
      </c>
      <c r="B17" s="10" t="s">
        <v>67</v>
      </c>
      <c r="C17" s="10" t="s">
        <v>68</v>
      </c>
      <c r="D17" s="18" t="s">
        <v>69</v>
      </c>
      <c r="E17" s="10" t="s">
        <v>13</v>
      </c>
      <c r="F17" s="10" t="s">
        <v>14</v>
      </c>
      <c r="G17" s="11">
        <v>30</v>
      </c>
      <c r="H17" s="14">
        <v>208.4</v>
      </c>
      <c r="I17" s="10" t="s">
        <v>70</v>
      </c>
      <c r="J17" s="10" t="s">
        <v>71</v>
      </c>
      <c r="K17" s="32">
        <v>0.52890000000000004</v>
      </c>
      <c r="L17" s="32">
        <v>-77.538899999999998</v>
      </c>
    </row>
    <row r="18" spans="1:12" ht="14.5" customHeight="1">
      <c r="A18" s="5">
        <v>2021</v>
      </c>
      <c r="B18" s="6" t="s">
        <v>72</v>
      </c>
      <c r="C18" s="6" t="s">
        <v>43</v>
      </c>
      <c r="D18" s="6" t="s">
        <v>44</v>
      </c>
      <c r="E18" s="6" t="s">
        <v>19</v>
      </c>
      <c r="F18" s="6" t="s">
        <v>14</v>
      </c>
      <c r="G18" s="7">
        <v>7.38</v>
      </c>
      <c r="H18" s="8">
        <v>41.4</v>
      </c>
      <c r="I18" s="6" t="s">
        <v>45</v>
      </c>
      <c r="J18" s="6" t="s">
        <v>46</v>
      </c>
      <c r="K18" s="32">
        <v>-2.6317292000000001</v>
      </c>
      <c r="L18" s="32">
        <v>-78.700893399999998</v>
      </c>
    </row>
    <row r="19" spans="1:12" ht="14.5" customHeight="1">
      <c r="A19" s="9">
        <v>2021</v>
      </c>
      <c r="B19" s="10" t="s">
        <v>73</v>
      </c>
      <c r="C19" s="10" t="s">
        <v>74</v>
      </c>
      <c r="D19" s="10" t="s">
        <v>34</v>
      </c>
      <c r="E19" s="10" t="s">
        <v>13</v>
      </c>
      <c r="F19" s="10" t="s">
        <v>14</v>
      </c>
      <c r="G19" s="11">
        <v>30</v>
      </c>
      <c r="H19" s="14">
        <v>210.5</v>
      </c>
      <c r="I19" s="10" t="s">
        <v>20</v>
      </c>
      <c r="J19" s="10" t="s">
        <v>21</v>
      </c>
      <c r="K19" s="32">
        <v>-4.0042007999999996</v>
      </c>
      <c r="L19" s="32">
        <v>-78.957775400000003</v>
      </c>
    </row>
    <row r="20" spans="1:12" ht="24.5" customHeight="1">
      <c r="A20" s="5">
        <v>2022</v>
      </c>
      <c r="B20" s="6" t="s">
        <v>75</v>
      </c>
      <c r="C20" s="6" t="s">
        <v>62</v>
      </c>
      <c r="D20" s="17" t="s">
        <v>63</v>
      </c>
      <c r="E20" s="6" t="s">
        <v>19</v>
      </c>
      <c r="F20" s="6" t="s">
        <v>14</v>
      </c>
      <c r="G20" s="7">
        <v>30</v>
      </c>
      <c r="H20" s="8">
        <v>247</v>
      </c>
      <c r="I20" s="6" t="s">
        <v>35</v>
      </c>
      <c r="J20" s="6" t="s">
        <v>76</v>
      </c>
      <c r="K20" s="32">
        <v>8.6495500000000003E-2</v>
      </c>
      <c r="L20" s="32">
        <v>-79.052576999999999</v>
      </c>
    </row>
    <row r="21" spans="1:12" ht="14.5" customHeight="1">
      <c r="A21" s="9">
        <v>2022</v>
      </c>
      <c r="B21" s="10" t="s">
        <v>77</v>
      </c>
      <c r="C21" s="10" t="s">
        <v>78</v>
      </c>
      <c r="D21" s="10" t="s">
        <v>44</v>
      </c>
      <c r="E21" s="10" t="s">
        <v>19</v>
      </c>
      <c r="F21" s="10" t="s">
        <v>14</v>
      </c>
      <c r="G21" s="11">
        <v>4</v>
      </c>
      <c r="H21" s="14">
        <v>23.2</v>
      </c>
      <c r="I21" s="10" t="s">
        <v>20</v>
      </c>
      <c r="J21" s="10" t="s">
        <v>21</v>
      </c>
      <c r="K21" s="32">
        <v>-4.0042007999999996</v>
      </c>
      <c r="L21" s="32">
        <v>-78.957775400000003</v>
      </c>
    </row>
    <row r="22" spans="1:12" ht="24.5" customHeight="1">
      <c r="A22" s="5">
        <v>2022</v>
      </c>
      <c r="B22" s="33" t="s">
        <v>105</v>
      </c>
      <c r="C22" s="6" t="s">
        <v>48</v>
      </c>
      <c r="D22" s="17" t="s">
        <v>63</v>
      </c>
      <c r="E22" s="6" t="s">
        <v>19</v>
      </c>
      <c r="F22" s="6" t="s">
        <v>14</v>
      </c>
      <c r="G22" s="7">
        <v>7.2</v>
      </c>
      <c r="H22" s="8">
        <v>39.200000000000003</v>
      </c>
      <c r="I22" s="6" t="s">
        <v>79</v>
      </c>
      <c r="J22" s="6" t="s">
        <v>80</v>
      </c>
      <c r="K22" s="32">
        <v>-2.9005999999999998</v>
      </c>
      <c r="L22" s="32">
        <v>-79.004499999999993</v>
      </c>
    </row>
    <row r="23" spans="1:12" ht="34.5" customHeight="1">
      <c r="A23" s="19">
        <v>2022</v>
      </c>
      <c r="B23" s="29" t="s">
        <v>106</v>
      </c>
      <c r="C23" s="20" t="s">
        <v>81</v>
      </c>
      <c r="D23" s="10" t="s">
        <v>82</v>
      </c>
      <c r="E23" s="20" t="s">
        <v>13</v>
      </c>
      <c r="F23" s="20" t="s">
        <v>83</v>
      </c>
      <c r="G23" s="21">
        <v>500</v>
      </c>
      <c r="H23" s="22">
        <v>1700</v>
      </c>
      <c r="I23" s="30" t="s">
        <v>100</v>
      </c>
      <c r="J23" s="30" t="s">
        <v>101</v>
      </c>
      <c r="K23" s="32">
        <v>-4.0343</v>
      </c>
      <c r="L23" s="32">
        <v>-79.240799999999993</v>
      </c>
    </row>
    <row r="24" spans="1:12" ht="57" customHeight="1">
      <c r="A24" s="5">
        <v>2023</v>
      </c>
      <c r="B24" s="33" t="s">
        <v>107</v>
      </c>
      <c r="C24" s="6" t="s">
        <v>48</v>
      </c>
      <c r="D24" s="17" t="s">
        <v>63</v>
      </c>
      <c r="E24" s="6" t="s">
        <v>19</v>
      </c>
      <c r="F24" s="6" t="s">
        <v>14</v>
      </c>
      <c r="G24" s="7">
        <v>14.6</v>
      </c>
      <c r="H24" s="8">
        <v>79.5</v>
      </c>
      <c r="I24" s="6" t="s">
        <v>79</v>
      </c>
      <c r="J24" s="6" t="s">
        <v>80</v>
      </c>
      <c r="K24" s="32">
        <v>-2.9005999999999998</v>
      </c>
      <c r="L24" s="32">
        <v>-79.004499999999993</v>
      </c>
    </row>
    <row r="25" spans="1:12" ht="23">
      <c r="A25" s="9">
        <v>2023</v>
      </c>
      <c r="B25" s="10" t="s">
        <v>59</v>
      </c>
      <c r="C25" s="10" t="s">
        <v>84</v>
      </c>
      <c r="D25" s="10" t="s">
        <v>44</v>
      </c>
      <c r="E25" s="10" t="s">
        <v>19</v>
      </c>
      <c r="F25" s="10" t="s">
        <v>14</v>
      </c>
      <c r="G25" s="11">
        <v>50</v>
      </c>
      <c r="H25" s="14">
        <v>355</v>
      </c>
      <c r="I25" s="10" t="s">
        <v>26</v>
      </c>
      <c r="J25" s="10" t="s">
        <v>59</v>
      </c>
      <c r="K25" s="32">
        <v>-0.22229670000000001</v>
      </c>
      <c r="L25" s="32">
        <v>-78.523431299999999</v>
      </c>
    </row>
    <row r="26" spans="1:12" ht="34.5">
      <c r="A26" s="9">
        <v>2024</v>
      </c>
      <c r="B26" s="10" t="s">
        <v>85</v>
      </c>
      <c r="C26" s="10" t="s">
        <v>86</v>
      </c>
      <c r="D26" s="15" t="s">
        <v>87</v>
      </c>
      <c r="E26" s="10" t="s">
        <v>13</v>
      </c>
      <c r="F26" s="10" t="s">
        <v>14</v>
      </c>
      <c r="G26" s="11">
        <v>100</v>
      </c>
      <c r="H26" s="14">
        <v>560</v>
      </c>
      <c r="I26" s="10" t="s">
        <v>15</v>
      </c>
      <c r="J26" s="10" t="s">
        <v>88</v>
      </c>
      <c r="K26" s="32">
        <v>-3.609</v>
      </c>
      <c r="L26" s="32">
        <v>-78.445999999999998</v>
      </c>
    </row>
    <row r="27" spans="1:12" ht="34.5">
      <c r="A27" s="9">
        <v>2026</v>
      </c>
      <c r="B27" s="10" t="s">
        <v>89</v>
      </c>
      <c r="C27" s="10" t="s">
        <v>90</v>
      </c>
      <c r="D27" s="23" t="s">
        <v>91</v>
      </c>
      <c r="E27" s="10" t="s">
        <v>13</v>
      </c>
      <c r="F27" s="10" t="s">
        <v>14</v>
      </c>
      <c r="G27" s="11">
        <v>595.6</v>
      </c>
      <c r="H27" s="12">
        <v>3409</v>
      </c>
      <c r="I27" s="10" t="s">
        <v>15</v>
      </c>
      <c r="J27" s="10" t="s">
        <v>92</v>
      </c>
      <c r="K27" s="32">
        <v>-2.6204000000000001</v>
      </c>
      <c r="L27" s="32">
        <v>-78.440299999999993</v>
      </c>
    </row>
    <row r="28" spans="1:12" ht="34.5">
      <c r="A28" s="5">
        <v>2026</v>
      </c>
      <c r="B28" s="6" t="s">
        <v>93</v>
      </c>
      <c r="C28" s="6" t="s">
        <v>90</v>
      </c>
      <c r="D28" s="16" t="s">
        <v>91</v>
      </c>
      <c r="E28" s="6" t="s">
        <v>13</v>
      </c>
      <c r="F28" s="6" t="s">
        <v>14</v>
      </c>
      <c r="G28" s="24">
        <v>1200</v>
      </c>
      <c r="H28" s="13">
        <v>9874</v>
      </c>
      <c r="I28" s="6" t="s">
        <v>15</v>
      </c>
      <c r="J28" s="26" t="s">
        <v>98</v>
      </c>
      <c r="K28" s="32">
        <v>-2.8433999999999999</v>
      </c>
      <c r="L28" s="32">
        <v>-78.486699999999999</v>
      </c>
    </row>
    <row r="29" spans="1:12" ht="34.5">
      <c r="A29" s="9">
        <v>2027</v>
      </c>
      <c r="B29" s="10" t="s">
        <v>94</v>
      </c>
      <c r="C29" s="10" t="s">
        <v>90</v>
      </c>
      <c r="D29" s="23" t="s">
        <v>91</v>
      </c>
      <c r="E29" s="10" t="s">
        <v>13</v>
      </c>
      <c r="F29" s="10" t="s">
        <v>14</v>
      </c>
      <c r="G29" s="25">
        <v>1200</v>
      </c>
      <c r="H29" s="12">
        <v>4739</v>
      </c>
      <c r="I29" s="10" t="s">
        <v>15</v>
      </c>
      <c r="J29" s="29" t="s">
        <v>99</v>
      </c>
      <c r="K29" s="32">
        <v>-2.8433999999999999</v>
      </c>
      <c r="L29" s="32">
        <v>-78.486699999999999</v>
      </c>
    </row>
    <row r="30" spans="1:12">
      <c r="A30">
        <v>2040</v>
      </c>
      <c r="B30" t="s">
        <v>112</v>
      </c>
      <c r="C30" t="s">
        <v>108</v>
      </c>
      <c r="D30" t="s">
        <v>109</v>
      </c>
      <c r="E30" t="s">
        <v>109</v>
      </c>
      <c r="F30" t="s">
        <v>110</v>
      </c>
      <c r="G30">
        <v>2000</v>
      </c>
      <c r="H30">
        <f>+G30*0.98*24*365/1000</f>
        <v>17169.599999999999</v>
      </c>
      <c r="I30" t="s">
        <v>116</v>
      </c>
      <c r="J30" t="s">
        <v>111</v>
      </c>
      <c r="K30">
        <v>-2.1899066</v>
      </c>
      <c r="L30">
        <v>-79.887726000000001</v>
      </c>
    </row>
    <row r="31" spans="1:12">
      <c r="A31">
        <v>2030</v>
      </c>
      <c r="B31" t="s">
        <v>113</v>
      </c>
      <c r="C31" t="s">
        <v>114</v>
      </c>
      <c r="D31" t="s">
        <v>109</v>
      </c>
      <c r="E31" t="s">
        <v>109</v>
      </c>
      <c r="F31" t="s">
        <v>110</v>
      </c>
      <c r="G31">
        <v>1000</v>
      </c>
      <c r="H31">
        <f>+G31*0.98*24*365/1000</f>
        <v>8584.7999999999993</v>
      </c>
      <c r="I31" t="s">
        <v>117</v>
      </c>
      <c r="J31" t="s">
        <v>115</v>
      </c>
      <c r="K31">
        <v>-1.3160000000000001</v>
      </c>
      <c r="L31">
        <v>-78.620999999999995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Future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Fernando Peñaherrera</cp:lastModifiedBy>
  <dcterms:created xsi:type="dcterms:W3CDTF">2025-11-01T15:44:55Z</dcterms:created>
  <dcterms:modified xsi:type="dcterms:W3CDTF">2025-11-04T12:22:30Z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2025-11-01T00:00:00Z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2025-11-01T00:00:00Z</vt:filetime>
  </property>
</Properties>
</file>